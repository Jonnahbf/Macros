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nathan\Desktop\Ruth\"/>
    </mc:Choice>
  </mc:AlternateContent>
  <xr:revisionPtr revIDLastSave="0" documentId="13_ncr:1_{7B86E94F-C60E-4927-A9EE-43AA58192447}" xr6:coauthVersionLast="45" xr6:coauthVersionMax="45" xr10:uidLastSave="{00000000-0000-0000-0000-000000000000}"/>
  <bookViews>
    <workbookView xWindow="-120" yWindow="-120" windowWidth="20730" windowHeight="11160" tabRatio="701" activeTab="3" xr2:uid="{00000000-000D-0000-FFFF-FFFF00000000}"/>
  </bookViews>
  <sheets>
    <sheet name="Catalogo" sheetId="4" r:id="rId1"/>
    <sheet name="Database" sheetId="1" r:id="rId2"/>
    <sheet name="Consolidado" sheetId="3" r:id="rId3"/>
    <sheet name="NuevoConsolidado" sheetId="64" r:id="rId4"/>
    <sheet name="Detalle" sheetId="115" r:id="rId5"/>
    <sheet name="212314" sheetId="143" r:id="rId6"/>
    <sheet name="202113" sheetId="142" r:id="rId7"/>
  </sheets>
  <externalReferences>
    <externalReference r:id="rId8"/>
  </externalReferences>
  <definedNames>
    <definedName name="_xlnm._FilterDatabase" localSheetId="6" hidden="1">'202113'!$A$10:$I$14</definedName>
    <definedName name="_xlnm._FilterDatabase" localSheetId="5" hidden="1">'212314'!$A$10:$I$14</definedName>
    <definedName name="_xlnm._FilterDatabase" localSheetId="0" hidden="1">Catalogo!$A$1:$D$219</definedName>
    <definedName name="_xlnm._FilterDatabase" localSheetId="2" hidden="1">Consolidado!$Q$9:$Z$59</definedName>
    <definedName name="_xlnm._FilterDatabase" localSheetId="1" hidden="1">Database!$A$2:$L$428</definedName>
    <definedName name="_xlnm._FilterDatabase" localSheetId="4" hidden="1">Detalle!$A$10:$I$14</definedName>
    <definedName name="_xlnm._FilterDatabase" localSheetId="3" hidden="1">NuevoConsolidado!$O$10:$X$60</definedName>
    <definedName name="_xlnm.Extract" localSheetId="6">'202113'!$A$10:$I$10</definedName>
    <definedName name="_xlnm.Extract" localSheetId="5">'212314'!$A$10:$I$10</definedName>
    <definedName name="_xlnm.Extract" localSheetId="4">Detalle!$A$10:$I$10</definedName>
    <definedName name="_xlnm.Extract" localSheetId="3">NuevoConsolidado!$B$10:$H$10</definedName>
    <definedName name="_xlnm.Print_Area" localSheetId="2">Consolidado!$A$1:$I$95</definedName>
    <definedName name="_xlnm.Print_Area" localSheetId="3">NuevoConsolidado!$A$1:$J$25</definedName>
    <definedName name="_xlnm.Criteria" localSheetId="6">'202113'!$D$3:$D$4</definedName>
    <definedName name="_xlnm.Criteria" localSheetId="5">'212314'!$D$3:$D$4</definedName>
    <definedName name="_xlnm.Criteria" localSheetId="2">Consolidado!$I$1:$I$2</definedName>
    <definedName name="_xlnm.Criteria" localSheetId="4">Detalle!$D$3:$D$4</definedName>
    <definedName name="_xlnm.Criteria" localSheetId="3">NuevoConsolidado!$I$2:$I$3</definedName>
    <definedName name="OLE_LINK1" localSheetId="2">Consolidado!$I$20</definedName>
  </definedNames>
  <calcPr calcId="181029"/>
  <pivotCaches>
    <pivotCache cacheId="12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S14" i="143" l="1"/>
  <c r="AW13" i="143"/>
  <c r="AV13" i="143"/>
  <c r="AU13" i="143"/>
  <c r="AT13" i="143"/>
  <c r="AS13" i="143"/>
  <c r="B6" i="143"/>
  <c r="F8" i="143" s="1"/>
  <c r="AS14" i="142"/>
  <c r="AW13" i="142"/>
  <c r="AV13" i="142"/>
  <c r="AU13" i="142"/>
  <c r="AT13" i="142"/>
  <c r="AS13" i="142"/>
  <c r="F8" i="142"/>
  <c r="B8" i="142"/>
  <c r="B6" i="142"/>
  <c r="B7" i="142" s="1"/>
  <c r="B428" i="1"/>
  <c r="C428" i="1"/>
  <c r="F428" i="1"/>
  <c r="B7" i="143" l="1"/>
  <c r="B8" i="143"/>
  <c r="A34" i="64" l="1"/>
  <c r="A35" i="64"/>
  <c r="A36" i="64"/>
  <c r="A37" i="64"/>
  <c r="A38" i="64"/>
  <c r="AW13" i="115"/>
  <c r="AV13" i="115"/>
  <c r="AU13" i="115"/>
  <c r="AT13" i="115"/>
  <c r="AS13" i="115"/>
  <c r="AS14" i="115"/>
  <c r="B6" i="115" l="1"/>
  <c r="F8" i="115" l="1"/>
  <c r="P91" i="3"/>
  <c r="P90" i="3"/>
  <c r="P89" i="3"/>
  <c r="P88" i="3"/>
  <c r="P87" i="3"/>
  <c r="P86" i="3"/>
  <c r="P82" i="3"/>
  <c r="P57" i="3"/>
  <c r="P56" i="3"/>
  <c r="P55" i="3"/>
  <c r="P52" i="3"/>
  <c r="P49" i="3"/>
  <c r="P48" i="3"/>
  <c r="P46" i="3"/>
  <c r="P33" i="3"/>
  <c r="P32" i="3"/>
  <c r="P30" i="3"/>
  <c r="P28" i="3"/>
  <c r="P26" i="3"/>
  <c r="P25" i="3"/>
  <c r="P24" i="3"/>
  <c r="P23" i="3"/>
  <c r="P22" i="3"/>
  <c r="P21" i="3"/>
  <c r="P9" i="3"/>
  <c r="P111" i="3" l="1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O99" i="3" l="1"/>
  <c r="O100" i="3"/>
  <c r="O101" i="3"/>
  <c r="O102" i="3"/>
  <c r="O103" i="3"/>
  <c r="O104" i="3"/>
  <c r="O105" i="3"/>
  <c r="O106" i="3"/>
  <c r="O107" i="3"/>
  <c r="O108" i="3"/>
  <c r="O109" i="3"/>
  <c r="O110" i="3"/>
  <c r="O111" i="3"/>
  <c r="P34" i="3"/>
  <c r="P35" i="3"/>
  <c r="P36" i="3"/>
  <c r="P37" i="3"/>
  <c r="P38" i="3"/>
  <c r="P39" i="3"/>
  <c r="P40" i="3"/>
  <c r="P41" i="3"/>
  <c r="P42" i="3"/>
  <c r="P43" i="3"/>
  <c r="P44" i="3"/>
  <c r="P45" i="3"/>
  <c r="P47" i="3"/>
  <c r="P50" i="3"/>
  <c r="P51" i="3"/>
  <c r="P53" i="3"/>
  <c r="P54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3" i="3"/>
  <c r="P84" i="3"/>
  <c r="P85" i="3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75" i="64"/>
  <c r="A76" i="64"/>
  <c r="A77" i="64"/>
  <c r="A78" i="64"/>
  <c r="A79" i="64"/>
  <c r="A80" i="64"/>
  <c r="A81" i="64"/>
  <c r="A82" i="64"/>
  <c r="A83" i="64"/>
  <c r="A84" i="64"/>
  <c r="A85" i="64"/>
  <c r="A86" i="64"/>
  <c r="A87" i="64"/>
  <c r="A88" i="64"/>
  <c r="A89" i="64"/>
  <c r="A90" i="64"/>
  <c r="A91" i="64"/>
  <c r="A92" i="64"/>
  <c r="A93" i="64"/>
  <c r="B427" i="1"/>
  <c r="C427" i="1"/>
  <c r="F427" i="1"/>
  <c r="L427" i="1"/>
  <c r="B426" i="1"/>
  <c r="C426" i="1"/>
  <c r="F426" i="1"/>
  <c r="L426" i="1"/>
  <c r="B425" i="1"/>
  <c r="C425" i="1"/>
  <c r="F425" i="1"/>
  <c r="L425" i="1"/>
  <c r="B424" i="1"/>
  <c r="C424" i="1"/>
  <c r="F424" i="1"/>
  <c r="L424" i="1"/>
  <c r="B423" i="1"/>
  <c r="C423" i="1"/>
  <c r="F423" i="1"/>
  <c r="L423" i="1"/>
  <c r="B422" i="1"/>
  <c r="C422" i="1"/>
  <c r="F422" i="1"/>
  <c r="L422" i="1"/>
  <c r="B421" i="1"/>
  <c r="C421" i="1"/>
  <c r="F421" i="1"/>
  <c r="L421" i="1"/>
  <c r="B420" i="1"/>
  <c r="C420" i="1"/>
  <c r="F420" i="1"/>
  <c r="L420" i="1"/>
  <c r="B419" i="1"/>
  <c r="C419" i="1"/>
  <c r="F419" i="1"/>
  <c r="L419" i="1"/>
  <c r="B418" i="1"/>
  <c r="C418" i="1"/>
  <c r="F418" i="1"/>
  <c r="L418" i="1"/>
  <c r="B417" i="1"/>
  <c r="C417" i="1"/>
  <c r="F417" i="1"/>
  <c r="L417" i="1"/>
  <c r="B416" i="1"/>
  <c r="C416" i="1"/>
  <c r="F416" i="1"/>
  <c r="L416" i="1"/>
  <c r="B415" i="1"/>
  <c r="C415" i="1"/>
  <c r="F415" i="1"/>
  <c r="L415" i="1"/>
  <c r="B414" i="1"/>
  <c r="C414" i="1"/>
  <c r="F414" i="1"/>
  <c r="L414" i="1"/>
  <c r="B413" i="1"/>
  <c r="C413" i="1"/>
  <c r="F413" i="1"/>
  <c r="L413" i="1"/>
  <c r="B412" i="1"/>
  <c r="C412" i="1"/>
  <c r="F412" i="1"/>
  <c r="L412" i="1"/>
  <c r="B411" i="1"/>
  <c r="C411" i="1"/>
  <c r="F411" i="1"/>
  <c r="L411" i="1"/>
  <c r="B410" i="1"/>
  <c r="C410" i="1"/>
  <c r="F410" i="1"/>
  <c r="L410" i="1"/>
  <c r="B409" i="1"/>
  <c r="C409" i="1"/>
  <c r="F409" i="1"/>
  <c r="L409" i="1"/>
  <c r="B408" i="1"/>
  <c r="C408" i="1"/>
  <c r="F408" i="1"/>
  <c r="L408" i="1"/>
  <c r="B407" i="1"/>
  <c r="C407" i="1"/>
  <c r="F407" i="1"/>
  <c r="L407" i="1"/>
  <c r="B406" i="1"/>
  <c r="C406" i="1"/>
  <c r="F406" i="1"/>
  <c r="L406" i="1"/>
  <c r="B405" i="1"/>
  <c r="C405" i="1"/>
  <c r="F405" i="1"/>
  <c r="L405" i="1"/>
  <c r="B404" i="1"/>
  <c r="C404" i="1"/>
  <c r="F404" i="1"/>
  <c r="L404" i="1"/>
  <c r="B403" i="1"/>
  <c r="C403" i="1"/>
  <c r="F403" i="1"/>
  <c r="L403" i="1"/>
  <c r="B402" i="1"/>
  <c r="C402" i="1"/>
  <c r="F402" i="1"/>
  <c r="L402" i="1"/>
  <c r="B401" i="1"/>
  <c r="C401" i="1"/>
  <c r="F401" i="1"/>
  <c r="L401" i="1"/>
  <c r="B400" i="1"/>
  <c r="C400" i="1"/>
  <c r="F400" i="1"/>
  <c r="L400" i="1"/>
  <c r="B399" i="1"/>
  <c r="C399" i="1"/>
  <c r="F399" i="1"/>
  <c r="L399" i="1"/>
  <c r="B398" i="1"/>
  <c r="C398" i="1"/>
  <c r="F398" i="1"/>
  <c r="L398" i="1"/>
  <c r="B397" i="1"/>
  <c r="C397" i="1"/>
  <c r="F397" i="1"/>
  <c r="L397" i="1"/>
  <c r="B396" i="1"/>
  <c r="C396" i="1"/>
  <c r="F396" i="1"/>
  <c r="L396" i="1"/>
  <c r="B395" i="1"/>
  <c r="C395" i="1"/>
  <c r="F395" i="1"/>
  <c r="L395" i="1"/>
  <c r="B394" i="1"/>
  <c r="C394" i="1"/>
  <c r="F394" i="1"/>
  <c r="L394" i="1"/>
  <c r="B393" i="1"/>
  <c r="C393" i="1"/>
  <c r="F393" i="1"/>
  <c r="L393" i="1"/>
  <c r="B392" i="1"/>
  <c r="C392" i="1"/>
  <c r="F392" i="1"/>
  <c r="L392" i="1"/>
  <c r="B391" i="1"/>
  <c r="C391" i="1"/>
  <c r="F391" i="1"/>
  <c r="L391" i="1"/>
  <c r="B390" i="1"/>
  <c r="C390" i="1"/>
  <c r="F390" i="1"/>
  <c r="L390" i="1"/>
  <c r="B389" i="1"/>
  <c r="C389" i="1"/>
  <c r="F389" i="1"/>
  <c r="L389" i="1"/>
  <c r="B388" i="1"/>
  <c r="C388" i="1"/>
  <c r="F388" i="1"/>
  <c r="L388" i="1"/>
  <c r="B387" i="1"/>
  <c r="C387" i="1"/>
  <c r="F387" i="1"/>
  <c r="L387" i="1"/>
  <c r="B386" i="1"/>
  <c r="C386" i="1"/>
  <c r="F386" i="1"/>
  <c r="L386" i="1"/>
  <c r="B385" i="1"/>
  <c r="C385" i="1"/>
  <c r="F385" i="1"/>
  <c r="L385" i="1"/>
  <c r="B384" i="1"/>
  <c r="C384" i="1"/>
  <c r="F384" i="1"/>
  <c r="L384" i="1"/>
  <c r="B383" i="1"/>
  <c r="C383" i="1"/>
  <c r="F383" i="1"/>
  <c r="L383" i="1"/>
  <c r="B382" i="1"/>
  <c r="C382" i="1"/>
  <c r="F382" i="1"/>
  <c r="L382" i="1"/>
  <c r="B381" i="1"/>
  <c r="C381" i="1"/>
  <c r="F381" i="1"/>
  <c r="L381" i="1"/>
  <c r="B380" i="1"/>
  <c r="C380" i="1"/>
  <c r="F380" i="1"/>
  <c r="L380" i="1"/>
  <c r="B379" i="1"/>
  <c r="C379" i="1"/>
  <c r="F379" i="1"/>
  <c r="L379" i="1"/>
  <c r="B378" i="1"/>
  <c r="C378" i="1"/>
  <c r="F378" i="1"/>
  <c r="L378" i="1"/>
  <c r="B377" i="1"/>
  <c r="C377" i="1"/>
  <c r="F377" i="1"/>
  <c r="L377" i="1"/>
  <c r="B376" i="1"/>
  <c r="C376" i="1"/>
  <c r="F376" i="1"/>
  <c r="L376" i="1"/>
  <c r="B375" i="1"/>
  <c r="C375" i="1"/>
  <c r="F375" i="1"/>
  <c r="L375" i="1"/>
  <c r="B374" i="1"/>
  <c r="C374" i="1"/>
  <c r="F374" i="1"/>
  <c r="L374" i="1"/>
  <c r="B373" i="1"/>
  <c r="C373" i="1"/>
  <c r="F373" i="1"/>
  <c r="L373" i="1"/>
  <c r="B372" i="1"/>
  <c r="C372" i="1"/>
  <c r="F372" i="1"/>
  <c r="L372" i="1"/>
  <c r="B371" i="1"/>
  <c r="C371" i="1"/>
  <c r="F371" i="1"/>
  <c r="L371" i="1"/>
  <c r="B370" i="1"/>
  <c r="C370" i="1"/>
  <c r="F370" i="1"/>
  <c r="L370" i="1"/>
  <c r="B369" i="1"/>
  <c r="C369" i="1"/>
  <c r="F369" i="1"/>
  <c r="L369" i="1"/>
  <c r="B368" i="1"/>
  <c r="C368" i="1"/>
  <c r="F368" i="1"/>
  <c r="L368" i="1"/>
  <c r="B367" i="1"/>
  <c r="C367" i="1"/>
  <c r="F367" i="1"/>
  <c r="L367" i="1"/>
  <c r="B366" i="1"/>
  <c r="C366" i="1"/>
  <c r="F366" i="1"/>
  <c r="L366" i="1"/>
  <c r="B365" i="1"/>
  <c r="C365" i="1"/>
  <c r="F365" i="1"/>
  <c r="L365" i="1"/>
  <c r="B364" i="1"/>
  <c r="C364" i="1"/>
  <c r="F364" i="1"/>
  <c r="L364" i="1"/>
  <c r="B363" i="1"/>
  <c r="C363" i="1"/>
  <c r="F363" i="1"/>
  <c r="L363" i="1"/>
  <c r="B362" i="1"/>
  <c r="C362" i="1"/>
  <c r="F362" i="1"/>
  <c r="L362" i="1"/>
  <c r="B361" i="1"/>
  <c r="C361" i="1"/>
  <c r="F361" i="1"/>
  <c r="L361" i="1"/>
  <c r="B360" i="1"/>
  <c r="C360" i="1"/>
  <c r="F360" i="1"/>
  <c r="L360" i="1"/>
  <c r="B359" i="1"/>
  <c r="C359" i="1"/>
  <c r="F359" i="1"/>
  <c r="L359" i="1"/>
  <c r="B358" i="1"/>
  <c r="C358" i="1"/>
  <c r="F358" i="1"/>
  <c r="L358" i="1"/>
  <c r="B357" i="1"/>
  <c r="C357" i="1"/>
  <c r="F357" i="1"/>
  <c r="L357" i="1"/>
  <c r="B356" i="1"/>
  <c r="C356" i="1"/>
  <c r="F356" i="1"/>
  <c r="L356" i="1"/>
  <c r="B355" i="1"/>
  <c r="C355" i="1"/>
  <c r="F355" i="1"/>
  <c r="L355" i="1"/>
  <c r="B354" i="1"/>
  <c r="C354" i="1"/>
  <c r="F354" i="1"/>
  <c r="L354" i="1"/>
  <c r="B353" i="1"/>
  <c r="C353" i="1"/>
  <c r="F353" i="1"/>
  <c r="L353" i="1"/>
  <c r="B352" i="1"/>
  <c r="C352" i="1"/>
  <c r="F352" i="1"/>
  <c r="L352" i="1"/>
  <c r="B351" i="1"/>
  <c r="C351" i="1"/>
  <c r="F351" i="1"/>
  <c r="L351" i="1"/>
  <c r="B350" i="1"/>
  <c r="C350" i="1"/>
  <c r="F350" i="1"/>
  <c r="L350" i="1"/>
  <c r="B349" i="1"/>
  <c r="C349" i="1"/>
  <c r="F349" i="1"/>
  <c r="L349" i="1"/>
  <c r="B348" i="1"/>
  <c r="C348" i="1"/>
  <c r="F348" i="1"/>
  <c r="L348" i="1"/>
  <c r="B347" i="1"/>
  <c r="C347" i="1"/>
  <c r="F347" i="1"/>
  <c r="L347" i="1"/>
  <c r="B346" i="1"/>
  <c r="C346" i="1"/>
  <c r="F346" i="1"/>
  <c r="L346" i="1"/>
  <c r="B345" i="1"/>
  <c r="C345" i="1"/>
  <c r="F345" i="1"/>
  <c r="L345" i="1"/>
  <c r="B344" i="1"/>
  <c r="C344" i="1"/>
  <c r="F344" i="1"/>
  <c r="L344" i="1"/>
  <c r="B343" i="1"/>
  <c r="C343" i="1"/>
  <c r="F343" i="1"/>
  <c r="L343" i="1"/>
  <c r="B342" i="1"/>
  <c r="C342" i="1"/>
  <c r="F342" i="1"/>
  <c r="L342" i="1"/>
  <c r="B341" i="1"/>
  <c r="C341" i="1"/>
  <c r="F341" i="1"/>
  <c r="L341" i="1"/>
  <c r="B340" i="1"/>
  <c r="C340" i="1"/>
  <c r="F340" i="1"/>
  <c r="L340" i="1"/>
  <c r="B339" i="1"/>
  <c r="C339" i="1"/>
  <c r="F339" i="1"/>
  <c r="L339" i="1"/>
  <c r="B338" i="1"/>
  <c r="C338" i="1"/>
  <c r="F338" i="1"/>
  <c r="L338" i="1"/>
  <c r="B337" i="1"/>
  <c r="C337" i="1"/>
  <c r="F337" i="1"/>
  <c r="L337" i="1"/>
  <c r="B336" i="1"/>
  <c r="C336" i="1"/>
  <c r="F336" i="1"/>
  <c r="L336" i="1"/>
  <c r="B335" i="1"/>
  <c r="C335" i="1"/>
  <c r="F335" i="1"/>
  <c r="L335" i="1"/>
  <c r="B334" i="1"/>
  <c r="C334" i="1"/>
  <c r="F334" i="1"/>
  <c r="L334" i="1"/>
  <c r="B333" i="1"/>
  <c r="C333" i="1"/>
  <c r="F333" i="1"/>
  <c r="L333" i="1"/>
  <c r="B332" i="1"/>
  <c r="C332" i="1"/>
  <c r="F332" i="1"/>
  <c r="L332" i="1"/>
  <c r="B331" i="1"/>
  <c r="C331" i="1"/>
  <c r="F331" i="1"/>
  <c r="L331" i="1"/>
  <c r="B330" i="1"/>
  <c r="C330" i="1"/>
  <c r="F330" i="1"/>
  <c r="L330" i="1"/>
  <c r="L329" i="1"/>
  <c r="F329" i="1"/>
  <c r="C329" i="1"/>
  <c r="B329" i="1"/>
  <c r="L328" i="1"/>
  <c r="F328" i="1"/>
  <c r="C328" i="1"/>
  <c r="B328" i="1"/>
  <c r="B327" i="1"/>
  <c r="C327" i="1"/>
  <c r="F327" i="1"/>
  <c r="L327" i="1"/>
  <c r="B326" i="1"/>
  <c r="C326" i="1"/>
  <c r="F326" i="1"/>
  <c r="L326" i="1"/>
  <c r="B325" i="1"/>
  <c r="C325" i="1"/>
  <c r="F325" i="1"/>
  <c r="L325" i="1"/>
  <c r="B324" i="1"/>
  <c r="C324" i="1"/>
  <c r="F324" i="1"/>
  <c r="L324" i="1"/>
  <c r="F323" i="1"/>
  <c r="F317" i="1"/>
  <c r="L323" i="1"/>
  <c r="C323" i="1"/>
  <c r="B323" i="1"/>
  <c r="L322" i="1"/>
  <c r="F322" i="1"/>
  <c r="C322" i="1"/>
  <c r="B322" i="1"/>
  <c r="L321" i="1"/>
  <c r="F321" i="1"/>
  <c r="C321" i="1"/>
  <c r="B321" i="1"/>
  <c r="L320" i="1"/>
  <c r="F320" i="1"/>
  <c r="C320" i="1"/>
  <c r="B320" i="1"/>
  <c r="L319" i="1"/>
  <c r="F319" i="1"/>
  <c r="C319" i="1"/>
  <c r="B319" i="1"/>
  <c r="L318" i="1"/>
  <c r="F318" i="1"/>
  <c r="C318" i="1"/>
  <c r="B318" i="1"/>
  <c r="F316" i="1"/>
  <c r="F315" i="1"/>
  <c r="F314" i="1"/>
  <c r="F313" i="1"/>
  <c r="B312" i="1"/>
  <c r="B313" i="1"/>
  <c r="B314" i="1"/>
  <c r="B315" i="1"/>
  <c r="B316" i="1"/>
  <c r="B317" i="1"/>
  <c r="C312" i="1"/>
  <c r="C313" i="1"/>
  <c r="C314" i="1"/>
  <c r="C315" i="1"/>
  <c r="C316" i="1"/>
  <c r="C317" i="1"/>
  <c r="L317" i="1"/>
  <c r="L316" i="1"/>
  <c r="L315" i="1"/>
  <c r="L314" i="1"/>
  <c r="L313" i="1"/>
  <c r="L312" i="1"/>
  <c r="F312" i="1"/>
  <c r="L311" i="1"/>
  <c r="F311" i="1"/>
  <c r="C311" i="1"/>
  <c r="B311" i="1"/>
  <c r="L310" i="1"/>
  <c r="F310" i="1"/>
  <c r="C310" i="1"/>
  <c r="B310" i="1"/>
  <c r="L309" i="1"/>
  <c r="F309" i="1"/>
  <c r="C309" i="1"/>
  <c r="B309" i="1"/>
  <c r="L308" i="1"/>
  <c r="F308" i="1"/>
  <c r="C308" i="1"/>
  <c r="B308" i="1"/>
  <c r="L307" i="1"/>
  <c r="F307" i="1"/>
  <c r="C307" i="1"/>
  <c r="B307" i="1"/>
  <c r="B303" i="1"/>
  <c r="B304" i="1"/>
  <c r="B305" i="1"/>
  <c r="B306" i="1"/>
  <c r="C303" i="1"/>
  <c r="C304" i="1"/>
  <c r="C305" i="1"/>
  <c r="C306" i="1"/>
  <c r="L306" i="1"/>
  <c r="F306" i="1"/>
  <c r="L305" i="1"/>
  <c r="F305" i="1"/>
  <c r="L304" i="1"/>
  <c r="F304" i="1"/>
  <c r="L303" i="1"/>
  <c r="F303" i="1"/>
  <c r="L302" i="1"/>
  <c r="F302" i="1"/>
  <c r="B302" i="1"/>
  <c r="C302" i="1"/>
  <c r="L301" i="1"/>
  <c r="F301" i="1"/>
  <c r="C301" i="1"/>
  <c r="B301" i="1"/>
  <c r="L300" i="1"/>
  <c r="F300" i="1"/>
  <c r="C300" i="1"/>
  <c r="B300" i="1"/>
  <c r="L299" i="1"/>
  <c r="F299" i="1"/>
  <c r="C299" i="1"/>
  <c r="B299" i="1"/>
  <c r="L298" i="1"/>
  <c r="F298" i="1"/>
  <c r="C298" i="1"/>
  <c r="B298" i="1"/>
  <c r="L297" i="1"/>
  <c r="F297" i="1"/>
  <c r="C297" i="1"/>
  <c r="B297" i="1"/>
  <c r="L296" i="1"/>
  <c r="F296" i="1"/>
  <c r="C296" i="1"/>
  <c r="B296" i="1"/>
  <c r="L295" i="1"/>
  <c r="F295" i="1"/>
  <c r="C295" i="1"/>
  <c r="B295" i="1"/>
  <c r="L294" i="1"/>
  <c r="F294" i="1"/>
  <c r="C294" i="1"/>
  <c r="B294" i="1"/>
  <c r="L293" i="1"/>
  <c r="F293" i="1"/>
  <c r="C293" i="1"/>
  <c r="B293" i="1"/>
  <c r="L292" i="1"/>
  <c r="F292" i="1"/>
  <c r="C292" i="1"/>
  <c r="B292" i="1"/>
  <c r="L291" i="1"/>
  <c r="F291" i="1"/>
  <c r="C291" i="1"/>
  <c r="B291" i="1"/>
  <c r="L290" i="1"/>
  <c r="F290" i="1"/>
  <c r="C290" i="1"/>
  <c r="B290" i="1"/>
  <c r="L289" i="1"/>
  <c r="F289" i="1"/>
  <c r="C289" i="1"/>
  <c r="B289" i="1"/>
  <c r="L288" i="1"/>
  <c r="F288" i="1"/>
  <c r="C288" i="1"/>
  <c r="B288" i="1"/>
  <c r="L287" i="1"/>
  <c r="F287" i="1"/>
  <c r="C287" i="1"/>
  <c r="B287" i="1"/>
  <c r="L286" i="1"/>
  <c r="F286" i="1"/>
  <c r="C286" i="1"/>
  <c r="B286" i="1"/>
  <c r="L285" i="1"/>
  <c r="F285" i="1"/>
  <c r="C285" i="1"/>
  <c r="B285" i="1"/>
  <c r="L284" i="1"/>
  <c r="F284" i="1"/>
  <c r="C284" i="1"/>
  <c r="B284" i="1"/>
  <c r="L283" i="1"/>
  <c r="F283" i="1"/>
  <c r="C283" i="1"/>
  <c r="B283" i="1"/>
  <c r="L282" i="1"/>
  <c r="F282" i="1"/>
  <c r="C282" i="1"/>
  <c r="B282" i="1"/>
  <c r="L281" i="1"/>
  <c r="F281" i="1"/>
  <c r="C281" i="1"/>
  <c r="B281" i="1"/>
  <c r="L280" i="1"/>
  <c r="F280" i="1"/>
  <c r="C280" i="1"/>
  <c r="B280" i="1"/>
  <c r="L279" i="1"/>
  <c r="F279" i="1"/>
  <c r="C279" i="1"/>
  <c r="B279" i="1"/>
  <c r="L278" i="1"/>
  <c r="F278" i="1"/>
  <c r="C278" i="1"/>
  <c r="B278" i="1"/>
  <c r="L277" i="1"/>
  <c r="F277" i="1"/>
  <c r="C277" i="1"/>
  <c r="B277" i="1"/>
  <c r="L276" i="1"/>
  <c r="F276" i="1"/>
  <c r="C276" i="1"/>
  <c r="B276" i="1"/>
  <c r="L275" i="1"/>
  <c r="F275" i="1"/>
  <c r="C275" i="1"/>
  <c r="B275" i="1"/>
  <c r="B274" i="1"/>
  <c r="C274" i="1"/>
  <c r="F274" i="1"/>
  <c r="L274" i="1"/>
  <c r="B273" i="1"/>
  <c r="C273" i="1"/>
  <c r="L273" i="1"/>
  <c r="F273" i="1"/>
  <c r="L272" i="1"/>
  <c r="F272" i="1"/>
  <c r="C272" i="1"/>
  <c r="B272" i="1"/>
  <c r="L271" i="1"/>
  <c r="F271" i="1"/>
  <c r="C271" i="1"/>
  <c r="B271" i="1"/>
  <c r="L270" i="1"/>
  <c r="F270" i="1"/>
  <c r="C270" i="1"/>
  <c r="B270" i="1"/>
  <c r="L269" i="1"/>
  <c r="F269" i="1"/>
  <c r="C269" i="1"/>
  <c r="B269" i="1"/>
  <c r="L268" i="1"/>
  <c r="F268" i="1"/>
  <c r="C268" i="1"/>
  <c r="B268" i="1"/>
  <c r="L267" i="1"/>
  <c r="F267" i="1"/>
  <c r="C267" i="1"/>
  <c r="B267" i="1"/>
  <c r="L266" i="1"/>
  <c r="F266" i="1"/>
  <c r="C266" i="1"/>
  <c r="B266" i="1"/>
  <c r="L265" i="1"/>
  <c r="F265" i="1"/>
  <c r="C265" i="1"/>
  <c r="B265" i="1"/>
  <c r="L264" i="1"/>
  <c r="F264" i="1"/>
  <c r="C264" i="1"/>
  <c r="B264" i="1"/>
  <c r="L263" i="1"/>
  <c r="F263" i="1"/>
  <c r="C263" i="1"/>
  <c r="B263" i="1"/>
  <c r="L262" i="1"/>
  <c r="F262" i="1"/>
  <c r="C262" i="1"/>
  <c r="B262" i="1"/>
  <c r="L261" i="1"/>
  <c r="F261" i="1"/>
  <c r="C261" i="1"/>
  <c r="B261" i="1"/>
  <c r="L260" i="1"/>
  <c r="F260" i="1"/>
  <c r="C260" i="1"/>
  <c r="B260" i="1"/>
  <c r="L259" i="1"/>
  <c r="F259" i="1"/>
  <c r="C259" i="1"/>
  <c r="B259" i="1"/>
  <c r="L258" i="1"/>
  <c r="F258" i="1"/>
  <c r="C258" i="1"/>
  <c r="B258" i="1"/>
  <c r="B257" i="1"/>
  <c r="C257" i="1"/>
  <c r="F257" i="1"/>
  <c r="L257" i="1"/>
  <c r="B256" i="1"/>
  <c r="C256" i="1"/>
  <c r="F256" i="1"/>
  <c r="L256" i="1"/>
  <c r="B255" i="1"/>
  <c r="C255" i="1"/>
  <c r="F255" i="1"/>
  <c r="L255" i="1"/>
  <c r="B254" i="1"/>
  <c r="C254" i="1"/>
  <c r="F254" i="1"/>
  <c r="L254" i="1"/>
  <c r="B253" i="1"/>
  <c r="C253" i="1"/>
  <c r="F253" i="1"/>
  <c r="L253" i="1"/>
  <c r="B252" i="1"/>
  <c r="C252" i="1"/>
  <c r="F252" i="1"/>
  <c r="L252" i="1"/>
  <c r="B251" i="1"/>
  <c r="C251" i="1"/>
  <c r="F251" i="1"/>
  <c r="L251" i="1"/>
  <c r="B250" i="1" l="1"/>
  <c r="C250" i="1"/>
  <c r="F250" i="1"/>
  <c r="L250" i="1"/>
  <c r="B249" i="1"/>
  <c r="C249" i="1"/>
  <c r="F249" i="1"/>
  <c r="L249" i="1"/>
  <c r="B248" i="1"/>
  <c r="C248" i="1"/>
  <c r="F248" i="1"/>
  <c r="L248" i="1"/>
  <c r="B247" i="1"/>
  <c r="C247" i="1"/>
  <c r="F247" i="1"/>
  <c r="L247" i="1"/>
  <c r="B246" i="1"/>
  <c r="C246" i="1"/>
  <c r="F246" i="1"/>
  <c r="L246" i="1"/>
  <c r="B245" i="1"/>
  <c r="C245" i="1"/>
  <c r="F245" i="1"/>
  <c r="L245" i="1"/>
  <c r="B244" i="1"/>
  <c r="C244" i="1"/>
  <c r="F244" i="1"/>
  <c r="L244" i="1"/>
  <c r="B243" i="1"/>
  <c r="C243" i="1"/>
  <c r="F243" i="1"/>
  <c r="L243" i="1"/>
  <c r="B242" i="1"/>
  <c r="C242" i="1"/>
  <c r="F242" i="1"/>
  <c r="L242" i="1"/>
  <c r="B241" i="1"/>
  <c r="C241" i="1"/>
  <c r="F241" i="1"/>
  <c r="L241" i="1"/>
  <c r="B240" i="1"/>
  <c r="C240" i="1"/>
  <c r="F240" i="1"/>
  <c r="L240" i="1"/>
  <c r="B239" i="1"/>
  <c r="C239" i="1"/>
  <c r="F239" i="1"/>
  <c r="L239" i="1"/>
  <c r="B238" i="1"/>
  <c r="C238" i="1"/>
  <c r="F238" i="1"/>
  <c r="L238" i="1"/>
  <c r="B237" i="1"/>
  <c r="C237" i="1"/>
  <c r="F237" i="1"/>
  <c r="L237" i="1"/>
  <c r="B236" i="1"/>
  <c r="C236" i="1"/>
  <c r="F236" i="1"/>
  <c r="L236" i="1"/>
  <c r="B235" i="1"/>
  <c r="C235" i="1"/>
  <c r="F235" i="1"/>
  <c r="L235" i="1"/>
  <c r="B234" i="1"/>
  <c r="C234" i="1"/>
  <c r="F234" i="1"/>
  <c r="L234" i="1"/>
  <c r="C233" i="1"/>
  <c r="B233" i="1"/>
  <c r="F233" i="1"/>
  <c r="L233" i="1"/>
  <c r="B232" i="1"/>
  <c r="C232" i="1"/>
  <c r="F232" i="1"/>
  <c r="L232" i="1"/>
  <c r="B231" i="1"/>
  <c r="C231" i="1"/>
  <c r="F231" i="1"/>
  <c r="L231" i="1"/>
  <c r="F220" i="1"/>
  <c r="L201" i="1"/>
  <c r="L105" i="1" l="1"/>
  <c r="B47" i="1"/>
  <c r="A11" i="64" l="1"/>
  <c r="A12" i="64"/>
  <c r="A13" i="64"/>
  <c r="A14" i="64"/>
  <c r="A15" i="64"/>
  <c r="A16" i="64"/>
  <c r="A17" i="64"/>
  <c r="A18" i="64"/>
  <c r="A19" i="64"/>
  <c r="A20" i="64"/>
  <c r="A21" i="64"/>
  <c r="A22" i="64"/>
  <c r="A23" i="64"/>
  <c r="A24" i="64"/>
  <c r="A25" i="64"/>
  <c r="A26" i="64"/>
  <c r="A27" i="64"/>
  <c r="A28" i="64"/>
  <c r="A29" i="64"/>
  <c r="A30" i="64"/>
  <c r="A31" i="64"/>
  <c r="A32" i="64"/>
  <c r="A33" i="64"/>
  <c r="A39" i="64"/>
  <c r="A40" i="64"/>
  <c r="A41" i="64"/>
  <c r="A42" i="64"/>
  <c r="A43" i="64"/>
  <c r="A44" i="64"/>
  <c r="A45" i="64"/>
  <c r="A46" i="64"/>
  <c r="A47" i="64"/>
  <c r="A48" i="64"/>
  <c r="A49" i="64"/>
  <c r="A50" i="64"/>
  <c r="A51" i="64"/>
  <c r="A52" i="64"/>
  <c r="A53" i="64"/>
  <c r="A54" i="64"/>
  <c r="A55" i="64"/>
  <c r="A56" i="64"/>
  <c r="A57" i="64"/>
  <c r="A58" i="64"/>
  <c r="A59" i="64"/>
  <c r="A60" i="64"/>
  <c r="A61" i="64"/>
  <c r="B222" i="1"/>
  <c r="C222" i="1"/>
  <c r="F222" i="1"/>
  <c r="L222" i="1"/>
  <c r="B223" i="1"/>
  <c r="C223" i="1"/>
  <c r="F223" i="1"/>
  <c r="L223" i="1"/>
  <c r="B224" i="1"/>
  <c r="C224" i="1"/>
  <c r="F224" i="1"/>
  <c r="L224" i="1"/>
  <c r="B225" i="1"/>
  <c r="C225" i="1"/>
  <c r="F225" i="1"/>
  <c r="L225" i="1"/>
  <c r="B230" i="1" l="1"/>
  <c r="C230" i="1"/>
  <c r="F230" i="1"/>
  <c r="L230" i="1"/>
  <c r="L229" i="1" l="1"/>
  <c r="F229" i="1"/>
  <c r="C229" i="1"/>
  <c r="B229" i="1"/>
  <c r="L228" i="1"/>
  <c r="F228" i="1"/>
  <c r="C228" i="1"/>
  <c r="B228" i="1"/>
  <c r="L227" i="1"/>
  <c r="F227" i="1"/>
  <c r="C227" i="1"/>
  <c r="B227" i="1"/>
  <c r="B226" i="1"/>
  <c r="C226" i="1"/>
  <c r="F226" i="1"/>
  <c r="L226" i="1"/>
  <c r="L221" i="1"/>
  <c r="F221" i="1"/>
  <c r="B221" i="1"/>
  <c r="C221" i="1"/>
  <c r="B220" i="1"/>
  <c r="C220" i="1"/>
  <c r="L220" i="1"/>
  <c r="B216" i="1"/>
  <c r="B217" i="1"/>
  <c r="B218" i="1"/>
  <c r="B219" i="1"/>
  <c r="C216" i="1"/>
  <c r="C217" i="1"/>
  <c r="C218" i="1"/>
  <c r="C219" i="1"/>
  <c r="L219" i="1"/>
  <c r="F219" i="1"/>
  <c r="L218" i="1"/>
  <c r="F218" i="1"/>
  <c r="L217" i="1"/>
  <c r="F217" i="1"/>
  <c r="L216" i="1"/>
  <c r="F216" i="1"/>
  <c r="L215" i="1"/>
  <c r="F215" i="1"/>
  <c r="B215" i="1"/>
  <c r="C215" i="1"/>
  <c r="B214" i="1"/>
  <c r="C214" i="1"/>
  <c r="F214" i="1"/>
  <c r="L214" i="1"/>
  <c r="B213" i="1"/>
  <c r="C213" i="1"/>
  <c r="F213" i="1"/>
  <c r="L213" i="1"/>
  <c r="B212" i="1"/>
  <c r="C212" i="1"/>
  <c r="F212" i="1"/>
  <c r="L212" i="1"/>
  <c r="B211" i="1"/>
  <c r="C211" i="1"/>
  <c r="F211" i="1"/>
  <c r="L211" i="1"/>
  <c r="B210" i="1"/>
  <c r="C210" i="1"/>
  <c r="F210" i="1"/>
  <c r="L210" i="1"/>
  <c r="B209" i="1"/>
  <c r="C209" i="1"/>
  <c r="F209" i="1"/>
  <c r="L209" i="1"/>
  <c r="B208" i="1"/>
  <c r="C208" i="1"/>
  <c r="F208" i="1"/>
  <c r="L208" i="1"/>
  <c r="B207" i="1"/>
  <c r="C207" i="1"/>
  <c r="F207" i="1"/>
  <c r="L207" i="1"/>
  <c r="B206" i="1"/>
  <c r="C206" i="1"/>
  <c r="F206" i="1"/>
  <c r="L206" i="1"/>
  <c r="B205" i="1"/>
  <c r="C205" i="1"/>
  <c r="F205" i="1"/>
  <c r="L205" i="1"/>
  <c r="B204" i="1"/>
  <c r="C204" i="1"/>
  <c r="F204" i="1"/>
  <c r="L204" i="1"/>
  <c r="B203" i="1"/>
  <c r="C203" i="1"/>
  <c r="F203" i="1"/>
  <c r="L203" i="1"/>
  <c r="B202" i="1"/>
  <c r="C202" i="1"/>
  <c r="F202" i="1"/>
  <c r="L202" i="1"/>
  <c r="B201" i="1"/>
  <c r="C201" i="1"/>
  <c r="F201" i="1"/>
  <c r="B200" i="1"/>
  <c r="C200" i="1"/>
  <c r="F200" i="1"/>
  <c r="L200" i="1"/>
  <c r="B199" i="1"/>
  <c r="C199" i="1"/>
  <c r="F199" i="1"/>
  <c r="L199" i="1"/>
  <c r="B198" i="1"/>
  <c r="C198" i="1"/>
  <c r="F198" i="1"/>
  <c r="L198" i="1"/>
  <c r="B197" i="1"/>
  <c r="C197" i="1"/>
  <c r="F197" i="1"/>
  <c r="L197" i="1"/>
  <c r="B196" i="1"/>
  <c r="C196" i="1"/>
  <c r="F196" i="1"/>
  <c r="L196" i="1"/>
  <c r="B195" i="1"/>
  <c r="C195" i="1"/>
  <c r="F195" i="1"/>
  <c r="L195" i="1"/>
  <c r="B194" i="1"/>
  <c r="C194" i="1"/>
  <c r="F194" i="1"/>
  <c r="L194" i="1"/>
  <c r="B193" i="1"/>
  <c r="C193" i="1"/>
  <c r="F193" i="1"/>
  <c r="L193" i="1"/>
  <c r="B192" i="1"/>
  <c r="C192" i="1"/>
  <c r="F192" i="1"/>
  <c r="L192" i="1"/>
  <c r="B191" i="1"/>
  <c r="C191" i="1"/>
  <c r="F191" i="1"/>
  <c r="L191" i="1"/>
  <c r="B190" i="1"/>
  <c r="C190" i="1"/>
  <c r="F190" i="1"/>
  <c r="L190" i="1"/>
  <c r="B189" i="1"/>
  <c r="C189" i="1"/>
  <c r="F189" i="1"/>
  <c r="L189" i="1"/>
  <c r="B188" i="1"/>
  <c r="C188" i="1"/>
  <c r="F188" i="1"/>
  <c r="L188" i="1"/>
  <c r="B187" i="1"/>
  <c r="C187" i="1"/>
  <c r="F187" i="1"/>
  <c r="L187" i="1"/>
  <c r="B186" i="1" l="1"/>
  <c r="C186" i="1"/>
  <c r="F186" i="1"/>
  <c r="L186" i="1"/>
  <c r="B185" i="1"/>
  <c r="C185" i="1"/>
  <c r="F185" i="1"/>
  <c r="L185" i="1"/>
  <c r="B184" i="1"/>
  <c r="C184" i="1"/>
  <c r="F184" i="1"/>
  <c r="L184" i="1"/>
  <c r="B183" i="1"/>
  <c r="C183" i="1"/>
  <c r="F183" i="1"/>
  <c r="L183" i="1"/>
  <c r="B182" i="1"/>
  <c r="C182" i="1"/>
  <c r="F182" i="1"/>
  <c r="L182" i="1"/>
  <c r="B181" i="1"/>
  <c r="C181" i="1"/>
  <c r="F181" i="1"/>
  <c r="L181" i="1"/>
  <c r="B180" i="1"/>
  <c r="C180" i="1"/>
  <c r="F180" i="1"/>
  <c r="L180" i="1"/>
  <c r="B179" i="1"/>
  <c r="C179" i="1"/>
  <c r="F179" i="1"/>
  <c r="L179" i="1"/>
  <c r="B178" i="1"/>
  <c r="C178" i="1"/>
  <c r="F178" i="1"/>
  <c r="L178" i="1"/>
  <c r="B177" i="1"/>
  <c r="C177" i="1"/>
  <c r="F177" i="1"/>
  <c r="L177" i="1"/>
  <c r="B176" i="1"/>
  <c r="C176" i="1"/>
  <c r="F176" i="1"/>
  <c r="L176" i="1"/>
  <c r="B175" i="1"/>
  <c r="C175" i="1"/>
  <c r="F175" i="1"/>
  <c r="L175" i="1"/>
  <c r="B174" i="1"/>
  <c r="C174" i="1"/>
  <c r="F174" i="1"/>
  <c r="L174" i="1"/>
  <c r="B173" i="1"/>
  <c r="C173" i="1"/>
  <c r="F173" i="1"/>
  <c r="L173" i="1"/>
  <c r="B172" i="1"/>
  <c r="C172" i="1"/>
  <c r="F172" i="1"/>
  <c r="L172" i="1"/>
  <c r="B171" i="1"/>
  <c r="C171" i="1"/>
  <c r="F171" i="1"/>
  <c r="L171" i="1"/>
  <c r="B170" i="1"/>
  <c r="C170" i="1"/>
  <c r="F170" i="1"/>
  <c r="L170" i="1"/>
  <c r="B169" i="1"/>
  <c r="C169" i="1"/>
  <c r="F169" i="1"/>
  <c r="L169" i="1"/>
  <c r="B168" i="1"/>
  <c r="C168" i="1"/>
  <c r="F168" i="1"/>
  <c r="L168" i="1"/>
  <c r="B167" i="1"/>
  <c r="C167" i="1"/>
  <c r="F167" i="1"/>
  <c r="L167" i="1"/>
  <c r="B166" i="1"/>
  <c r="C166" i="1"/>
  <c r="F166" i="1"/>
  <c r="L166" i="1"/>
  <c r="B165" i="1"/>
  <c r="C165" i="1"/>
  <c r="F165" i="1"/>
  <c r="L165" i="1"/>
  <c r="B164" i="1"/>
  <c r="C164" i="1"/>
  <c r="F164" i="1"/>
  <c r="L164" i="1"/>
  <c r="B163" i="1"/>
  <c r="C163" i="1"/>
  <c r="F163" i="1"/>
  <c r="L163" i="1"/>
  <c r="B162" i="1"/>
  <c r="C162" i="1"/>
  <c r="F162" i="1"/>
  <c r="L162" i="1"/>
  <c r="B161" i="1" l="1"/>
  <c r="C161" i="1"/>
  <c r="F161" i="1"/>
  <c r="L161" i="1"/>
  <c r="B160" i="1"/>
  <c r="C160" i="1"/>
  <c r="F160" i="1"/>
  <c r="L160" i="1"/>
  <c r="B159" i="1"/>
  <c r="C159" i="1"/>
  <c r="F159" i="1"/>
  <c r="L159" i="1"/>
  <c r="B158" i="1"/>
  <c r="C158" i="1"/>
  <c r="F158" i="1"/>
  <c r="L158" i="1"/>
  <c r="B157" i="1"/>
  <c r="C157" i="1"/>
  <c r="F157" i="1"/>
  <c r="L157" i="1"/>
  <c r="B156" i="1"/>
  <c r="C156" i="1"/>
  <c r="F156" i="1"/>
  <c r="L156" i="1"/>
  <c r="B155" i="1"/>
  <c r="C155" i="1"/>
  <c r="F155" i="1"/>
  <c r="L155" i="1"/>
  <c r="B154" i="1"/>
  <c r="C154" i="1"/>
  <c r="F154" i="1"/>
  <c r="L154" i="1"/>
  <c r="B153" i="1"/>
  <c r="C153" i="1"/>
  <c r="F153" i="1"/>
  <c r="L153" i="1"/>
  <c r="B152" i="1"/>
  <c r="C152" i="1"/>
  <c r="F152" i="1"/>
  <c r="L152" i="1"/>
  <c r="B151" i="1"/>
  <c r="C151" i="1"/>
  <c r="F151" i="1"/>
  <c r="L151" i="1"/>
  <c r="B150" i="1"/>
  <c r="C150" i="1"/>
  <c r="F150" i="1"/>
  <c r="L150" i="1"/>
  <c r="B149" i="1"/>
  <c r="C149" i="1"/>
  <c r="F149" i="1"/>
  <c r="L149" i="1"/>
  <c r="B148" i="1"/>
  <c r="C148" i="1"/>
  <c r="F148" i="1"/>
  <c r="L148" i="1"/>
  <c r="B147" i="1"/>
  <c r="C147" i="1"/>
  <c r="F147" i="1"/>
  <c r="L147" i="1"/>
  <c r="B146" i="1"/>
  <c r="C146" i="1"/>
  <c r="F146" i="1"/>
  <c r="L146" i="1"/>
  <c r="B145" i="1"/>
  <c r="C145" i="1"/>
  <c r="F145" i="1"/>
  <c r="L145" i="1"/>
  <c r="B144" i="1"/>
  <c r="C144" i="1"/>
  <c r="F144" i="1"/>
  <c r="L144" i="1"/>
  <c r="B143" i="1"/>
  <c r="C143" i="1"/>
  <c r="F143" i="1"/>
  <c r="L143" i="1"/>
  <c r="B142" i="1"/>
  <c r="C142" i="1"/>
  <c r="F142" i="1"/>
  <c r="L142" i="1"/>
  <c r="B141" i="1"/>
  <c r="C141" i="1"/>
  <c r="F141" i="1"/>
  <c r="L141" i="1"/>
  <c r="B140" i="1"/>
  <c r="C140" i="1"/>
  <c r="F140" i="1"/>
  <c r="L140" i="1"/>
  <c r="B139" i="1"/>
  <c r="C139" i="1"/>
  <c r="F139" i="1"/>
  <c r="L139" i="1"/>
  <c r="B138" i="1"/>
  <c r="C138" i="1"/>
  <c r="F138" i="1"/>
  <c r="L138" i="1"/>
  <c r="B137" i="1"/>
  <c r="C137" i="1"/>
  <c r="F137" i="1"/>
  <c r="L137" i="1"/>
  <c r="B136" i="1"/>
  <c r="C136" i="1"/>
  <c r="F136" i="1"/>
  <c r="L136" i="1"/>
  <c r="B135" i="1"/>
  <c r="C135" i="1"/>
  <c r="F135" i="1"/>
  <c r="L135" i="1"/>
  <c r="B134" i="1"/>
  <c r="C134" i="1"/>
  <c r="F134" i="1"/>
  <c r="L134" i="1"/>
  <c r="B133" i="1"/>
  <c r="C133" i="1"/>
  <c r="F133" i="1"/>
  <c r="L133" i="1"/>
  <c r="B132" i="1"/>
  <c r="C132" i="1"/>
  <c r="F132" i="1"/>
  <c r="L132" i="1"/>
  <c r="B131" i="1" l="1"/>
  <c r="C131" i="1"/>
  <c r="F131" i="1"/>
  <c r="L131" i="1"/>
  <c r="B130" i="1" l="1"/>
  <c r="C130" i="1"/>
  <c r="F130" i="1"/>
  <c r="L130" i="1"/>
  <c r="B129" i="1"/>
  <c r="C129" i="1"/>
  <c r="F129" i="1"/>
  <c r="L129" i="1"/>
  <c r="B128" i="1"/>
  <c r="C128" i="1"/>
  <c r="F128" i="1"/>
  <c r="L128" i="1"/>
  <c r="B127" i="1"/>
  <c r="C127" i="1"/>
  <c r="F127" i="1"/>
  <c r="L127" i="1"/>
  <c r="B126" i="1"/>
  <c r="C126" i="1"/>
  <c r="F126" i="1"/>
  <c r="L126" i="1"/>
  <c r="B125" i="1"/>
  <c r="C125" i="1"/>
  <c r="F125" i="1"/>
  <c r="L125" i="1"/>
  <c r="B124" i="1"/>
  <c r="C124" i="1"/>
  <c r="F124" i="1"/>
  <c r="L124" i="1"/>
  <c r="B123" i="1"/>
  <c r="C123" i="1"/>
  <c r="F123" i="1"/>
  <c r="L123" i="1"/>
  <c r="B122" i="1"/>
  <c r="C122" i="1"/>
  <c r="F122" i="1"/>
  <c r="L122" i="1"/>
  <c r="B121" i="1"/>
  <c r="C121" i="1"/>
  <c r="F121" i="1"/>
  <c r="L121" i="1"/>
  <c r="B120" i="1"/>
  <c r="C120" i="1"/>
  <c r="F120" i="1"/>
  <c r="L120" i="1"/>
  <c r="B119" i="1"/>
  <c r="C119" i="1"/>
  <c r="F119" i="1"/>
  <c r="L119" i="1"/>
  <c r="B118" i="1"/>
  <c r="C118" i="1"/>
  <c r="F118" i="1"/>
  <c r="L118" i="1"/>
  <c r="B117" i="1"/>
  <c r="C117" i="1"/>
  <c r="F117" i="1"/>
  <c r="L117" i="1"/>
  <c r="B116" i="1"/>
  <c r="C116" i="1"/>
  <c r="F116" i="1"/>
  <c r="L116" i="1"/>
  <c r="B115" i="1"/>
  <c r="C115" i="1"/>
  <c r="F115" i="1"/>
  <c r="L115" i="1"/>
  <c r="B114" i="1"/>
  <c r="C114" i="1"/>
  <c r="F114" i="1"/>
  <c r="L114" i="1"/>
  <c r="B113" i="1"/>
  <c r="C113" i="1"/>
  <c r="F113" i="1"/>
  <c r="L113" i="1"/>
  <c r="B112" i="1"/>
  <c r="C112" i="1"/>
  <c r="F112" i="1"/>
  <c r="L112" i="1"/>
  <c r="B111" i="1"/>
  <c r="C111" i="1"/>
  <c r="F111" i="1"/>
  <c r="L111" i="1"/>
  <c r="B110" i="1"/>
  <c r="C110" i="1"/>
  <c r="F110" i="1"/>
  <c r="L110" i="1"/>
  <c r="B109" i="1"/>
  <c r="C109" i="1"/>
  <c r="F109" i="1"/>
  <c r="L109" i="1"/>
  <c r="B108" i="1"/>
  <c r="C108" i="1"/>
  <c r="F108" i="1"/>
  <c r="L108" i="1"/>
  <c r="B107" i="1"/>
  <c r="C107" i="1"/>
  <c r="F107" i="1"/>
  <c r="L107" i="1"/>
  <c r="B106" i="1"/>
  <c r="C106" i="1"/>
  <c r="F106" i="1"/>
  <c r="L106" i="1"/>
  <c r="B105" i="1"/>
  <c r="C105" i="1"/>
  <c r="F105" i="1"/>
  <c r="B104" i="1"/>
  <c r="C104" i="1"/>
  <c r="F104" i="1"/>
  <c r="L104" i="1"/>
  <c r="B103" i="1"/>
  <c r="C103" i="1"/>
  <c r="F103" i="1"/>
  <c r="L103" i="1"/>
  <c r="B102" i="1"/>
  <c r="C102" i="1"/>
  <c r="F102" i="1"/>
  <c r="L102" i="1"/>
  <c r="B101" i="1"/>
  <c r="C101" i="1"/>
  <c r="F101" i="1"/>
  <c r="L101" i="1"/>
  <c r="B100" i="1"/>
  <c r="C100" i="1"/>
  <c r="F100" i="1"/>
  <c r="L100" i="1"/>
  <c r="B99" i="1"/>
  <c r="C99" i="1"/>
  <c r="F99" i="1"/>
  <c r="L99" i="1"/>
  <c r="B98" i="1"/>
  <c r="C98" i="1"/>
  <c r="F98" i="1"/>
  <c r="L98" i="1"/>
  <c r="B97" i="1"/>
  <c r="C97" i="1"/>
  <c r="F97" i="1"/>
  <c r="L97" i="1"/>
  <c r="B96" i="1"/>
  <c r="C96" i="1"/>
  <c r="F96" i="1"/>
  <c r="L96" i="1"/>
  <c r="B95" i="1"/>
  <c r="C95" i="1"/>
  <c r="F95" i="1"/>
  <c r="L95" i="1"/>
  <c r="B94" i="1"/>
  <c r="C94" i="1"/>
  <c r="F94" i="1"/>
  <c r="L94" i="1"/>
  <c r="B93" i="1"/>
  <c r="C93" i="1"/>
  <c r="F93" i="1"/>
  <c r="L93" i="1"/>
  <c r="B92" i="1"/>
  <c r="C92" i="1"/>
  <c r="F92" i="1"/>
  <c r="L92" i="1"/>
  <c r="B91" i="1"/>
  <c r="C91" i="1"/>
  <c r="F91" i="1"/>
  <c r="L91" i="1"/>
  <c r="B90" i="1"/>
  <c r="C90" i="1"/>
  <c r="F90" i="1"/>
  <c r="L90" i="1"/>
  <c r="B89" i="1"/>
  <c r="C89" i="1"/>
  <c r="F89" i="1"/>
  <c r="L89" i="1"/>
  <c r="B88" i="1" l="1"/>
  <c r="C88" i="1"/>
  <c r="F88" i="1"/>
  <c r="L88" i="1"/>
  <c r="B87" i="1"/>
  <c r="C87" i="1"/>
  <c r="F87" i="1"/>
  <c r="L87" i="1"/>
  <c r="B86" i="1"/>
  <c r="C86" i="1"/>
  <c r="F86" i="1"/>
  <c r="L86" i="1"/>
  <c r="B85" i="1"/>
  <c r="C85" i="1"/>
  <c r="F85" i="1"/>
  <c r="L85" i="1"/>
  <c r="B84" i="1"/>
  <c r="C84" i="1"/>
  <c r="F84" i="1"/>
  <c r="L84" i="1"/>
  <c r="B83" i="1"/>
  <c r="C83" i="1"/>
  <c r="F83" i="1"/>
  <c r="L83" i="1"/>
  <c r="B82" i="1"/>
  <c r="C82" i="1"/>
  <c r="F82" i="1"/>
  <c r="L82" i="1"/>
  <c r="B81" i="1"/>
  <c r="C81" i="1"/>
  <c r="F81" i="1"/>
  <c r="L81" i="1"/>
  <c r="B80" i="1"/>
  <c r="C80" i="1"/>
  <c r="F80" i="1"/>
  <c r="L80" i="1"/>
  <c r="B79" i="1"/>
  <c r="C79" i="1"/>
  <c r="F79" i="1"/>
  <c r="L79" i="1"/>
  <c r="B78" i="1"/>
  <c r="C78" i="1"/>
  <c r="F78" i="1"/>
  <c r="L78" i="1"/>
  <c r="B77" i="1"/>
  <c r="C77" i="1"/>
  <c r="F77" i="1"/>
  <c r="L77" i="1"/>
  <c r="B76" i="1"/>
  <c r="C76" i="1"/>
  <c r="F76" i="1"/>
  <c r="L76" i="1"/>
  <c r="B75" i="1" l="1"/>
  <c r="C75" i="1"/>
  <c r="F75" i="1"/>
  <c r="L75" i="1"/>
  <c r="B74" i="1"/>
  <c r="C74" i="1"/>
  <c r="F74" i="1"/>
  <c r="L74" i="1"/>
  <c r="B73" i="1"/>
  <c r="C73" i="1"/>
  <c r="F73" i="1"/>
  <c r="L73" i="1"/>
  <c r="B72" i="1"/>
  <c r="C72" i="1"/>
  <c r="F72" i="1"/>
  <c r="L72" i="1"/>
  <c r="B71" i="1"/>
  <c r="C71" i="1"/>
  <c r="F71" i="1"/>
  <c r="L71" i="1"/>
  <c r="B70" i="1"/>
  <c r="C70" i="1"/>
  <c r="F70" i="1"/>
  <c r="L70" i="1"/>
  <c r="B69" i="1"/>
  <c r="C69" i="1"/>
  <c r="F69" i="1"/>
  <c r="L69" i="1"/>
  <c r="B68" i="1"/>
  <c r="C68" i="1"/>
  <c r="F68" i="1"/>
  <c r="L68" i="1"/>
  <c r="B67" i="1"/>
  <c r="C67" i="1"/>
  <c r="F67" i="1"/>
  <c r="L67" i="1"/>
  <c r="B66" i="1"/>
  <c r="C66" i="1"/>
  <c r="F66" i="1"/>
  <c r="L66" i="1"/>
  <c r="B65" i="1"/>
  <c r="C65" i="1"/>
  <c r="F65" i="1"/>
  <c r="L65" i="1"/>
  <c r="B64" i="1"/>
  <c r="C64" i="1"/>
  <c r="F64" i="1"/>
  <c r="L64" i="1"/>
  <c r="B63" i="1"/>
  <c r="C63" i="1"/>
  <c r="F63" i="1"/>
  <c r="L63" i="1"/>
  <c r="B62" i="1"/>
  <c r="C62" i="1"/>
  <c r="F62" i="1"/>
  <c r="L62" i="1"/>
  <c r="B61" i="1"/>
  <c r="C61" i="1"/>
  <c r="F61" i="1"/>
  <c r="L61" i="1"/>
  <c r="B60" i="1"/>
  <c r="C60" i="1"/>
  <c r="F60" i="1"/>
  <c r="L60" i="1"/>
  <c r="B59" i="1"/>
  <c r="C59" i="1"/>
  <c r="F59" i="1"/>
  <c r="L59" i="1"/>
  <c r="B58" i="1"/>
  <c r="C58" i="1"/>
  <c r="F58" i="1"/>
  <c r="L58" i="1"/>
  <c r="B57" i="1"/>
  <c r="C57" i="1"/>
  <c r="F57" i="1"/>
  <c r="L57" i="1"/>
  <c r="B56" i="1"/>
  <c r="C56" i="1"/>
  <c r="F56" i="1"/>
  <c r="L56" i="1"/>
  <c r="B55" i="1"/>
  <c r="C55" i="1"/>
  <c r="F55" i="1"/>
  <c r="L55" i="1"/>
  <c r="B54" i="1"/>
  <c r="C54" i="1"/>
  <c r="F54" i="1"/>
  <c r="L54" i="1"/>
  <c r="B53" i="1"/>
  <c r="C53" i="1"/>
  <c r="F53" i="1"/>
  <c r="L53" i="1"/>
  <c r="B52" i="1"/>
  <c r="C52" i="1"/>
  <c r="F52" i="1"/>
  <c r="L52" i="1"/>
  <c r="B51" i="1"/>
  <c r="C51" i="1"/>
  <c r="F51" i="1"/>
  <c r="L51" i="1"/>
  <c r="B50" i="1"/>
  <c r="C50" i="1"/>
  <c r="F50" i="1"/>
  <c r="L50" i="1"/>
  <c r="B49" i="1"/>
  <c r="C49" i="1"/>
  <c r="F49" i="1"/>
  <c r="L49" i="1"/>
  <c r="B48" i="1"/>
  <c r="C48" i="1"/>
  <c r="F48" i="1"/>
  <c r="L48" i="1"/>
  <c r="C47" i="1"/>
  <c r="F47" i="1"/>
  <c r="L47" i="1"/>
  <c r="B46" i="1"/>
  <c r="C46" i="1"/>
  <c r="F46" i="1"/>
  <c r="L46" i="1"/>
  <c r="B45" i="1"/>
  <c r="C45" i="1"/>
  <c r="F45" i="1"/>
  <c r="L45" i="1"/>
  <c r="B44" i="1"/>
  <c r="C44" i="1"/>
  <c r="F44" i="1"/>
  <c r="L44" i="1"/>
  <c r="B43" i="1"/>
  <c r="C43" i="1"/>
  <c r="F43" i="1"/>
  <c r="L43" i="1"/>
  <c r="B42" i="1"/>
  <c r="C42" i="1"/>
  <c r="F42" i="1"/>
  <c r="L42" i="1"/>
  <c r="B41" i="1"/>
  <c r="C41" i="1"/>
  <c r="F41" i="1"/>
  <c r="L41" i="1"/>
  <c r="B40" i="1"/>
  <c r="C40" i="1"/>
  <c r="F40" i="1"/>
  <c r="L40" i="1"/>
  <c r="B39" i="1"/>
  <c r="C39" i="1"/>
  <c r="F39" i="1"/>
  <c r="L39" i="1"/>
  <c r="B38" i="1"/>
  <c r="C38" i="1"/>
  <c r="F38" i="1"/>
  <c r="L38" i="1"/>
  <c r="B37" i="1"/>
  <c r="C37" i="1"/>
  <c r="F37" i="1"/>
  <c r="L37" i="1"/>
  <c r="B36" i="1"/>
  <c r="C36" i="1"/>
  <c r="F36" i="1"/>
  <c r="L36" i="1"/>
  <c r="B35" i="1"/>
  <c r="C35" i="1"/>
  <c r="F35" i="1"/>
  <c r="L35" i="1"/>
  <c r="B34" i="1"/>
  <c r="C34" i="1"/>
  <c r="F34" i="1"/>
  <c r="L34" i="1"/>
  <c r="B33" i="1"/>
  <c r="C33" i="1"/>
  <c r="F33" i="1"/>
  <c r="L33" i="1"/>
  <c r="B32" i="1"/>
  <c r="C32" i="1"/>
  <c r="F32" i="1"/>
  <c r="L32" i="1"/>
  <c r="B31" i="1"/>
  <c r="C31" i="1"/>
  <c r="F31" i="1"/>
  <c r="L31" i="1"/>
  <c r="B30" i="1"/>
  <c r="C30" i="1"/>
  <c r="F30" i="1"/>
  <c r="L30" i="1"/>
  <c r="B29" i="1"/>
  <c r="C29" i="1"/>
  <c r="F29" i="1"/>
  <c r="L29" i="1"/>
  <c r="B28" i="1"/>
  <c r="C28" i="1"/>
  <c r="F28" i="1"/>
  <c r="L28" i="1"/>
  <c r="B27" i="1"/>
  <c r="C27" i="1"/>
  <c r="F27" i="1"/>
  <c r="L27" i="1"/>
  <c r="B26" i="1"/>
  <c r="C26" i="1"/>
  <c r="F26" i="1"/>
  <c r="L26" i="1"/>
  <c r="B25" i="1"/>
  <c r="C25" i="1"/>
  <c r="F25" i="1"/>
  <c r="L25" i="1"/>
  <c r="B24" i="1"/>
  <c r="C24" i="1"/>
  <c r="F24" i="1"/>
  <c r="L24" i="1"/>
  <c r="B23" i="1"/>
  <c r="C23" i="1"/>
  <c r="F23" i="1"/>
  <c r="L23" i="1"/>
  <c r="B22" i="1"/>
  <c r="C22" i="1"/>
  <c r="F22" i="1"/>
  <c r="L22" i="1"/>
  <c r="B21" i="1"/>
  <c r="C21" i="1"/>
  <c r="F21" i="1"/>
  <c r="L21" i="1"/>
  <c r="B20" i="1"/>
  <c r="C20" i="1"/>
  <c r="F20" i="1"/>
  <c r="L20" i="1"/>
  <c r="B19" i="1"/>
  <c r="C19" i="1"/>
  <c r="F19" i="1"/>
  <c r="L19" i="1"/>
  <c r="B18" i="1"/>
  <c r="C18" i="1"/>
  <c r="F18" i="1"/>
  <c r="L18" i="1"/>
  <c r="B17" i="1"/>
  <c r="C17" i="1"/>
  <c r="F17" i="1"/>
  <c r="L17" i="1"/>
  <c r="B16" i="1"/>
  <c r="C16" i="1"/>
  <c r="F16" i="1"/>
  <c r="L16" i="1"/>
  <c r="B15" i="1"/>
  <c r="C15" i="1"/>
  <c r="F15" i="1"/>
  <c r="L15" i="1"/>
  <c r="B14" i="1"/>
  <c r="C14" i="1"/>
  <c r="F14" i="1"/>
  <c r="L14" i="1"/>
  <c r="B13" i="1"/>
  <c r="C13" i="1"/>
  <c r="F13" i="1"/>
  <c r="L13" i="1"/>
  <c r="B12" i="1"/>
  <c r="C12" i="1"/>
  <c r="F12" i="1"/>
  <c r="L12" i="1"/>
  <c r="B11" i="1"/>
  <c r="C11" i="1"/>
  <c r="F11" i="1"/>
  <c r="L11" i="1"/>
  <c r="B7" i="115" l="1"/>
  <c r="B8" i="115"/>
  <c r="B10" i="1"/>
  <c r="C10" i="1"/>
  <c r="F10" i="1"/>
  <c r="L10" i="1"/>
  <c r="B9" i="1"/>
  <c r="C9" i="1"/>
  <c r="F9" i="1"/>
  <c r="L9" i="1"/>
  <c r="B8" i="1"/>
  <c r="C8" i="1"/>
  <c r="F8" i="1"/>
  <c r="L8" i="1"/>
  <c r="B7" i="1"/>
  <c r="C7" i="1"/>
  <c r="F7" i="1"/>
  <c r="L7" i="1"/>
  <c r="B6" i="1"/>
  <c r="C6" i="1"/>
  <c r="F6" i="1"/>
  <c r="L6" i="1"/>
  <c r="B5" i="1" l="1"/>
  <c r="C5" i="1"/>
  <c r="F5" i="1"/>
  <c r="L5" i="1"/>
  <c r="B4" i="1"/>
  <c r="C4" i="1"/>
  <c r="F4" i="1"/>
  <c r="L4" i="1"/>
  <c r="B3" i="1" l="1"/>
  <c r="C3" i="1"/>
  <c r="F3" i="1"/>
  <c r="L3" i="1"/>
  <c r="P10" i="3" l="1"/>
  <c r="P16" i="3" l="1"/>
  <c r="P15" i="3"/>
  <c r="P14" i="3"/>
  <c r="P13" i="3"/>
  <c r="P12" i="3"/>
  <c r="P11" i="3"/>
  <c r="P31" i="3" l="1"/>
  <c r="P29" i="3"/>
  <c r="P17" i="3" l="1"/>
  <c r="P18" i="3"/>
  <c r="P19" i="3"/>
  <c r="P20" i="3"/>
  <c r="P27" i="3"/>
  <c r="Q9" i="3" l="1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10" i="3"/>
  <c r="Q10" i="3" l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Q105" i="3" s="1"/>
  <c r="Q106" i="3" s="1"/>
  <c r="Q107" i="3" s="1"/>
  <c r="Q108" i="3" s="1"/>
  <c r="Q109" i="3" s="1"/>
  <c r="Q110" i="3" s="1"/>
  <c r="Q111" i="3" s="1"/>
  <c r="O9" i="3"/>
</calcChain>
</file>

<file path=xl/sharedStrings.xml><?xml version="1.0" encoding="utf-8"?>
<sst xmlns="http://schemas.openxmlformats.org/spreadsheetml/2006/main" count="2036" uniqueCount="338">
  <si>
    <t>Código:</t>
  </si>
  <si>
    <t>Nombre :</t>
  </si>
  <si>
    <t>Posicion:</t>
  </si>
  <si>
    <t>Transporte</t>
  </si>
  <si>
    <t>No.</t>
  </si>
  <si>
    <t>Fecha</t>
  </si>
  <si>
    <t>Dia</t>
  </si>
  <si>
    <t>Total C$</t>
  </si>
  <si>
    <t>Totales</t>
  </si>
  <si>
    <t xml:space="preserve"> </t>
  </si>
  <si>
    <t xml:space="preserve">   Responsable del Dpto</t>
  </si>
  <si>
    <t>Autorizado</t>
  </si>
  <si>
    <t>Firma del Trabajador</t>
  </si>
  <si>
    <t>No</t>
  </si>
  <si>
    <t>Código</t>
  </si>
  <si>
    <t>Nombre y Apellido</t>
  </si>
  <si>
    <t>N6</t>
  </si>
  <si>
    <t xml:space="preserve">   Jefe de Area</t>
  </si>
  <si>
    <t>Gerente de Area</t>
  </si>
  <si>
    <t>Desayuno C$ 25</t>
  </si>
  <si>
    <t>Cena C$ 30</t>
  </si>
  <si>
    <t>Almuerzo C$ 35</t>
  </si>
  <si>
    <t>DOMINGO</t>
  </si>
  <si>
    <t>LUNES</t>
  </si>
  <si>
    <t>MARTES</t>
  </si>
  <si>
    <t>MIÉRCOLES</t>
  </si>
  <si>
    <t>JUEVES</t>
  </si>
  <si>
    <t>VIERNES</t>
  </si>
  <si>
    <t>SÁBADO</t>
  </si>
  <si>
    <t>_______________________</t>
  </si>
  <si>
    <t>______________________</t>
  </si>
  <si>
    <t>Suma de Total C$</t>
  </si>
  <si>
    <t>Coordinador de PyC de Area</t>
  </si>
  <si>
    <t>Cuenta de Fecha</t>
  </si>
  <si>
    <t>COD-PERSONAL</t>
  </si>
  <si>
    <t>OPERARIO</t>
  </si>
  <si>
    <t>PUESTO IDEAL</t>
  </si>
  <si>
    <t>MEMORANDUN</t>
  </si>
  <si>
    <t xml:space="preserve">         </t>
  </si>
  <si>
    <t xml:space="preserve">Para: </t>
  </si>
  <si>
    <t xml:space="preserve">Asunto:   </t>
  </si>
  <si>
    <t>Pago de Viáticos.</t>
  </si>
  <si>
    <t>Fecha:</t>
  </si>
  <si>
    <t xml:space="preserve">De:        </t>
  </si>
  <si>
    <t>_________________________________</t>
  </si>
  <si>
    <t>_________________</t>
  </si>
  <si>
    <t>No mlr</t>
  </si>
  <si>
    <t>Centro de Costo</t>
  </si>
  <si>
    <t>Dias</t>
  </si>
  <si>
    <t>Columna1</t>
  </si>
  <si>
    <t>NI0101A022</t>
  </si>
  <si>
    <t>NOEL WILFREDO HENRIQUEZ AGUILAR</t>
  </si>
  <si>
    <t>AUDELIO ANTONIO MARTINEZ ARAUZ</t>
  </si>
  <si>
    <t>JESUS MARIA RIVAS IZQUIERDO</t>
  </si>
  <si>
    <t>BAYARDO DANILO MOLINA LUNA</t>
  </si>
  <si>
    <t>MARCOS FRANCISCO ALTAMIRANO CANDIA</t>
  </si>
  <si>
    <t>JUAN MANUEL CARRASCO</t>
  </si>
  <si>
    <t>EDWIN DAVID GOMEZ RIVERA</t>
  </si>
  <si>
    <t>TEOFILO ANTONIO MENDOZA GUTIERREZ</t>
  </si>
  <si>
    <t>CARLOS ADOLFO DIAZ LOPEZ</t>
  </si>
  <si>
    <t>DENIS ROBERTO ARROLIGA MARTINEZ</t>
  </si>
  <si>
    <t>EDWIN ERNESTO AVILES RENTERIA</t>
  </si>
  <si>
    <t>DENIS MOISES MENDEZ MENDOZA</t>
  </si>
  <si>
    <t>JUAN PABLO CABALLERO REAL</t>
  </si>
  <si>
    <t>DELBER EDIXON MARADIAGA HERNANDEZ</t>
  </si>
  <si>
    <t>FRANCISCO JAVIER ROMERO M.</t>
  </si>
  <si>
    <t>URIEL FAUTINO MARTINEZ SERRANO</t>
  </si>
  <si>
    <t>DARVIN RICARDO GARCIA VIDAURRE</t>
  </si>
  <si>
    <t>MOISES ANTONIO BALTODANO PUPIRO</t>
  </si>
  <si>
    <t>CLAUDIO ANTONIO ZAVALA</t>
  </si>
  <si>
    <t>RAFAEL GUADALUPE HERRERA GOMEZ</t>
  </si>
  <si>
    <t>JOSE ANTONIO VELAZQUEZ CHAMORRO</t>
  </si>
  <si>
    <t>NERY HERNANDEZ ROMERO</t>
  </si>
  <si>
    <t>JOSE MARIA BONILLA</t>
  </si>
  <si>
    <t>OSCAR EDUARDO GOMEZ HERNANDEZ</t>
  </si>
  <si>
    <t>REYNALDO JOSE PALMA CENTENO</t>
  </si>
  <si>
    <t>EVENOR ADRIAN GARAY ROJAS</t>
  </si>
  <si>
    <t>DARIO JOSE SANTAMARIA RAMIREZ</t>
  </si>
  <si>
    <t>JOSE ALFREDO RENTERIA AVELARES</t>
  </si>
  <si>
    <t>FERNANDO JOSE AYALA RIOS</t>
  </si>
  <si>
    <t>DAVID ALEJANDRO ARMAS RODRIGUEZ</t>
  </si>
  <si>
    <t>ALVARO JOSE ACETUNO MEDINA</t>
  </si>
  <si>
    <t>FRANKLIN ALBERTO JUAREZ DIAZ</t>
  </si>
  <si>
    <t>JOSE ROBERTO MAYORGA</t>
  </si>
  <si>
    <t>DONALD DIONISIO JUAREZ OVIEDO</t>
  </si>
  <si>
    <t>GERARDO MERCEDES BLANCO</t>
  </si>
  <si>
    <t>JUAN CARLOS PANIAGUA REYES</t>
  </si>
  <si>
    <t>ARIEL RICARDO OSABAS SANTOS</t>
  </si>
  <si>
    <t>CRISTOBAL DE JESUS GALEANO TORRES</t>
  </si>
  <si>
    <t>FRANCISCO JOSE POVEDA RUIZ</t>
  </si>
  <si>
    <t>GERARDO JOSE DIAZ</t>
  </si>
  <si>
    <t>MARVIN SEBASTIAN PALACIOS</t>
  </si>
  <si>
    <t>MAURO MANUEL SEQUEIRA</t>
  </si>
  <si>
    <t>PABLO EMILIO AVELAREZ JIRON</t>
  </si>
  <si>
    <t>RODRIGO DE JESUS PALMA BERMUDEZ</t>
  </si>
  <si>
    <t>RUDYS ADOLFO POVEDA LOPEZ</t>
  </si>
  <si>
    <t>WILFREDO LEONARDO PERALTA OLIVERA</t>
  </si>
  <si>
    <t>ANGEL HORACIO GARRIDO MENDOZA</t>
  </si>
  <si>
    <t>RAUL ENRIQUE MEJIA</t>
  </si>
  <si>
    <t>SANTOS DIONISIO RUIZ LOPEZ</t>
  </si>
  <si>
    <t>JUAN RAMON MARTINEZ AVENDAÑO</t>
  </si>
  <si>
    <t>VICENTE DE JESUS ROMERO LANZAS</t>
  </si>
  <si>
    <t>WILBERT MARTIN IZQUIERDO TORREZ</t>
  </si>
  <si>
    <t>ARMANDO JOSE CACERES PALMA</t>
  </si>
  <si>
    <t>RODRIGO FRANCISCO AVENDAÑO</t>
  </si>
  <si>
    <t>EDWIN JAVIER ZARATE</t>
  </si>
  <si>
    <t>JOELL GARCIA VILCHEZ</t>
  </si>
  <si>
    <t>ALEJANDRO JOSE VASQUEZ GARCIA</t>
  </si>
  <si>
    <t>EDDY ALFONSO BLANCO MONTANO</t>
  </si>
  <si>
    <t>MARIANA VICTORIA FLORES NUÑEZ</t>
  </si>
  <si>
    <t>HUGO ANTONIO BELTRAN HERNANDEZ</t>
  </si>
  <si>
    <t>JOSE IGNACIO CRUZ ESTRADA</t>
  </si>
  <si>
    <t>SANTOS DONAL MONCADA MARTINEZ</t>
  </si>
  <si>
    <t>JOSE ESTEBAN ROMERO</t>
  </si>
  <si>
    <t>CARLOS DANILO CABALLERO NAVAS</t>
  </si>
  <si>
    <t>KELVIN ENELSON MARADIAGA HERNANDEZ</t>
  </si>
  <si>
    <t>ERNESTO GREGORIO RIOS URBINA</t>
  </si>
  <si>
    <t>WIL EZEQUIEL FAJARDO JIMENEZ</t>
  </si>
  <si>
    <t>YERLING ALI FLORES VELASQUEZ</t>
  </si>
  <si>
    <t>JULIO CESAR PADILLA GRANADO</t>
  </si>
  <si>
    <t>JULIO ALFREDO TORREZ MEDRANO</t>
  </si>
  <si>
    <t>CRISTHIAM LORENA ACETUNO CASTELLON</t>
  </si>
  <si>
    <t>JUAN JOSE ULLOA VIDEA</t>
  </si>
  <si>
    <t>FRANCISCO JOSE LUNA ROQUE</t>
  </si>
  <si>
    <t>MARIA JOSE GUERRERO MARTINEZ</t>
  </si>
  <si>
    <t>ELIO DAVID OVIEDO UREY</t>
  </si>
  <si>
    <t>NORVING ISAIAS NAVARRO REYES</t>
  </si>
  <si>
    <t>ALEJANDRO MARTINEZ ROMERO</t>
  </si>
  <si>
    <t>RICARDO ANTONIO BONILLA JUAREZ</t>
  </si>
  <si>
    <t>NIXON NOEL MARTINEZ AMADOR</t>
  </si>
  <si>
    <t>ALFREDO CESAR VALLADAREZ AGUILERA</t>
  </si>
  <si>
    <t>VILMA LUCIA TORREZ GARCIA</t>
  </si>
  <si>
    <t>DANIELITO SOFONIA RIVERA</t>
  </si>
  <si>
    <t>RICARDO ANTONIO AQUINO CHAVARRIA</t>
  </si>
  <si>
    <t>DARBIN JOSE URROZ ROJA</t>
  </si>
  <si>
    <t>JORGE LUIS ULLOA AVELARES</t>
  </si>
  <si>
    <t>NI0101A024</t>
  </si>
  <si>
    <t>César Godoy</t>
  </si>
  <si>
    <t>Jefe Transporte y Red Vial</t>
  </si>
  <si>
    <t>Pablo Bérmudez</t>
  </si>
  <si>
    <t>Jefe de Compensaciones y Nómina</t>
  </si>
  <si>
    <t>Por este medio le solicito el pago de viaticos para los trabajadores que laboran en Transporte y Red Vial, lo cual corresponden al periodo del</t>
  </si>
  <si>
    <t>WILMAR ALEXANDER RAYO BLANDON</t>
  </si>
  <si>
    <t>EDUARDO JOSE PRADO CENTENO</t>
  </si>
  <si>
    <t>JORGE ISAAC ULLOA</t>
  </si>
  <si>
    <t>FELIX ANTONIO RIOS JIRON</t>
  </si>
  <si>
    <t>KENER BAYARDO RAYO BLANDON</t>
  </si>
  <si>
    <t>ALEXANDER ALBERTO CAMPOS ESPINOZA</t>
  </si>
  <si>
    <t>REYNALDO JOSE RIVERA MARTINEZ</t>
  </si>
  <si>
    <t>FREDY JOSE ESTRADA CASTRO</t>
  </si>
  <si>
    <t>EVELING JOSE OVIEDO PANIAGUA</t>
  </si>
  <si>
    <t>JOSE RAMON FIGUEROA</t>
  </si>
  <si>
    <t>JOSE RENE MARTINEZ</t>
  </si>
  <si>
    <t>SANTOS ALBERTO MENDOZA ZAPATA</t>
  </si>
  <si>
    <t>GERSSON OSMIR AVELARES RAMIREZ</t>
  </si>
  <si>
    <t>RICARDO JOSE OSABAS REYES</t>
  </si>
  <si>
    <t>NIXON ERNESTO ROMERO</t>
  </si>
  <si>
    <t>JESUS ALBERTO DUARTE FLORES</t>
  </si>
  <si>
    <t>LUIS EMILIO GURDIAN MEMBREÑO</t>
  </si>
  <si>
    <t>JASON MANUEL CRUZ ESPINALES</t>
  </si>
  <si>
    <t>DAMARIS ONEYDA GONZALEZ PADILLA</t>
  </si>
  <si>
    <t>ANA JULIA MARTINEZ</t>
  </si>
  <si>
    <t>JUAN ANIBAL CARDOZA OVIEDO</t>
  </si>
  <si>
    <t>LEONEL ANTONIO SANTOS MARTINEZ</t>
  </si>
  <si>
    <t>JOSE BENITO ORTIZ CENTENO</t>
  </si>
  <si>
    <t>JUAN RAFAEL GOMEZ</t>
  </si>
  <si>
    <t>ALVARO JULIAN FRANCO RODRIGUEZ</t>
  </si>
  <si>
    <t>SANTOS MARTIN CHAVARRIA HERNANDEZ</t>
  </si>
  <si>
    <t>BYRON RUFINO LOPEZ MARTINEZ</t>
  </si>
  <si>
    <t>AUGUSTO CESAR GOMEZ ZAPATA</t>
  </si>
  <si>
    <t>ENYEL FRANCISCO MEJIA MARTINEZ</t>
  </si>
  <si>
    <t>DENIS ROBERTO ARROLIGA FLORES</t>
  </si>
  <si>
    <t>LUIS ANTONIO ALTAMIRANO CANDIA</t>
  </si>
  <si>
    <t>FREDDYS JOSUE AGUILERA ANDRADE</t>
  </si>
  <si>
    <t>GERALD JUNIOR MIRANDA LARIOS</t>
  </si>
  <si>
    <t>FERNANDO JOSE CANALES SALINAS</t>
  </si>
  <si>
    <t>FERNANDO ARIEL SOMARRIBA MENDOZA</t>
  </si>
  <si>
    <t>HARRISON WILFREDO OLIVERA MENDOZA</t>
  </si>
  <si>
    <t>MAYQUELING GIZEL MONTENEGRO GARCIA</t>
  </si>
  <si>
    <t>SERGIO ALEJANDRO VILCHEZ BONILLA</t>
  </si>
  <si>
    <t>ELVER ANTONIO SOMARRIBA CHAVARRIA</t>
  </si>
  <si>
    <t>LUIS ANGEL ZAPATA HERNANDEZ</t>
  </si>
  <si>
    <t>LUIS FELIPE ALVARADO MONTES</t>
  </si>
  <si>
    <t>MAGDIEL JOSE SILVA GUIDO</t>
  </si>
  <si>
    <t>MAYNOR RAMIRO PALACIO CRUZ</t>
  </si>
  <si>
    <t>NELSON JOSE NAVAS IZAGUIRRE</t>
  </si>
  <si>
    <t>JUANA DE LA CRUZ CARRILLO ACETUNO</t>
  </si>
  <si>
    <t>SANTOS ENRIQUE MENDEZ</t>
  </si>
  <si>
    <t>ERICK ADAN ROJAS GUEVARA</t>
  </si>
  <si>
    <t>GERARDO RAMON NUÑEZ MARTINEZ</t>
  </si>
  <si>
    <t>GILBERTO JESUS POMARES MARTINEZ</t>
  </si>
  <si>
    <t>JORGE LUIS GONZALEZ LOPEZ</t>
  </si>
  <si>
    <t>JOSE ALFREDO PAIZ SOMARRIBA</t>
  </si>
  <si>
    <t>OSCAR DAVID ROMERO SAAVEDRA</t>
  </si>
  <si>
    <t>BRAYAN ANTONIO SEQUEIRA RAMIREZ</t>
  </si>
  <si>
    <t>JONATHAN EDUARDO OCHOA VELASQUEZ</t>
  </si>
  <si>
    <t>ZUCELT BELISKE GARAY MENDOZA</t>
  </si>
  <si>
    <t>CARLOS MARTIN RODRIGUEZ ESPINOZA</t>
  </si>
  <si>
    <t>JOSE ANTONIO SERRANO GONZALEZ</t>
  </si>
  <si>
    <t>OLIVER ANTONIO SANTELIZ NAVARRO</t>
  </si>
  <si>
    <t>ORLANDO JOSE BLANCO MEJIA</t>
  </si>
  <si>
    <t>FELIX ANTONIO GONZALEZ</t>
  </si>
  <si>
    <t>FRANCISCO JAVIER GARAY CALDERON</t>
  </si>
  <si>
    <t>GUILLERMO DE LA CONCEPCION PICADO RUIZ</t>
  </si>
  <si>
    <t>MOISES BISMARCK CARCAMO HERRERA</t>
  </si>
  <si>
    <t>WILBERTH JACOBO SOMARRIBA ESPINOZA</t>
  </si>
  <si>
    <t>VIDAL ALEXANDER MARTINEZ REYES</t>
  </si>
  <si>
    <t>RONALDO FRANCISCO SANCHEZ ROMERO</t>
  </si>
  <si>
    <t>JOSE DOMINGO TERCERO HERNANDEZ</t>
  </si>
  <si>
    <t>MANUEL ENRIQUE GUEVARA GODOY</t>
  </si>
  <si>
    <t>WILBER DE JESUS TELLEZ SILVA</t>
  </si>
  <si>
    <t>IGMAK JAVIER MEYNARD AMADOR</t>
  </si>
  <si>
    <t>DENIS ENRIQUE SANCHEZ ORTIZ</t>
  </si>
  <si>
    <t>WILFREDO BERNABE JIRON MELENDEZ</t>
  </si>
  <si>
    <t>JUAN DE DIOS ROJAS</t>
  </si>
  <si>
    <t>Santa Isabel</t>
  </si>
  <si>
    <t>Candelaria</t>
  </si>
  <si>
    <t>Mocoron</t>
  </si>
  <si>
    <t>Yerama</t>
  </si>
  <si>
    <t>Los Planes</t>
  </si>
  <si>
    <t>Olocoton</t>
  </si>
  <si>
    <t>SIMON DE JESUS SABORIO</t>
  </si>
  <si>
    <t>LUIS MANUEL ALVAREZ MARTINEZ</t>
  </si>
  <si>
    <t>LUIS YOJANY PASTRAN GONZALES</t>
  </si>
  <si>
    <t>IRINEO DE LOS ANGELES PINEDA MALTA</t>
  </si>
  <si>
    <t>ROGER EMILIO MAYORGA CASTELLON</t>
  </si>
  <si>
    <t>ARACELLY DEL CARMEN BORGE MIRANDA</t>
  </si>
  <si>
    <t>JOSE MANUEL MARTINEZ MEDINA</t>
  </si>
  <si>
    <t>LEONEL ISMAEL CORDOBA NARVAEZ</t>
  </si>
  <si>
    <t>SANTOS INES NARVAEZ</t>
  </si>
  <si>
    <t>LUIS DE JESUS TORREZ TORREZ</t>
  </si>
  <si>
    <t>BOANERGES ESCALANTE PEREZ</t>
  </si>
  <si>
    <t>FILIBERTO JESUS VARELA HERRERA</t>
  </si>
  <si>
    <t>RIGOBERTO ANTONIO CHAVARRIA AVELAREZ</t>
  </si>
  <si>
    <t>ALEXANDER JOSUE JIMENEZ ESCOBAR</t>
  </si>
  <si>
    <t>OSCAR FRANCISCO CARCAMO HERRERA</t>
  </si>
  <si>
    <t>FABIO DANIEL ULLOA AVELARES</t>
  </si>
  <si>
    <t>JUAN ERVIN ROJAS MONTALVAN</t>
  </si>
  <si>
    <t>PEDRO ALFONSO ACETUNO</t>
  </si>
  <si>
    <t>FELIX ALFONSO BLANCO CRUZ</t>
  </si>
  <si>
    <t>JUAN RAMON VALDIVIA MUNGUIA</t>
  </si>
  <si>
    <t>WILLIAM ANTONIO ARMAS RODRIGUEZ</t>
  </si>
  <si>
    <t>JUAN RAMON MONCADA GUIDO</t>
  </si>
  <si>
    <t>FRANCISCO JAVIER CABALLERO CASTILLO</t>
  </si>
  <si>
    <t>MARCOS ALEJANDRO DIAZ</t>
  </si>
  <si>
    <t>PEDRO MARVIN BONILLA SILVA</t>
  </si>
  <si>
    <t>YLARIO ANTONIO PALMA ZAPATA</t>
  </si>
  <si>
    <t>JOSE RAUL ESCOBAR RIVERA</t>
  </si>
  <si>
    <t>BENITO NUÑEZ VIDAURRE</t>
  </si>
  <si>
    <t>IVAN DE JESUS PEREZ MIRANDA</t>
  </si>
  <si>
    <t>SADIA MANUELA LARA SILVA</t>
  </si>
  <si>
    <t>YELSON MANUEL GARCIA VAZQUEZ</t>
  </si>
  <si>
    <t>BAYARDO ANTONIO FLORES REYES</t>
  </si>
  <si>
    <t>JUAN ANGEL AGUILERA REYES</t>
  </si>
  <si>
    <t>EVERT FRANCISCO RAYO PINEDA</t>
  </si>
  <si>
    <t>CARLOS JOSE REYES AVENDAÑO</t>
  </si>
  <si>
    <t>WILLBERTH JOSE OSORIO MERCADO</t>
  </si>
  <si>
    <t>JUAN FRANCISCO ORDOÑEZ ESPINAL</t>
  </si>
  <si>
    <t>FRANCISCO JAVIER ACETUNO</t>
  </si>
  <si>
    <t>LUIS ADOLFO BARRERA AYALA</t>
  </si>
  <si>
    <t>ABRAHAM DE JESUS VELASQUEZ MEJIA</t>
  </si>
  <si>
    <t>FAREXI JULISSA MARTINEZ</t>
  </si>
  <si>
    <t>LUIS MANUEL HERRERA MONDRAGON</t>
  </si>
  <si>
    <t>ERNALDO DAVID GARCIA MEZA</t>
  </si>
  <si>
    <t>RAFAEL ANTONIO SALAZAR GARCIA</t>
  </si>
  <si>
    <t>LUIS ANGEL PEREZ</t>
  </si>
  <si>
    <t>CARLOS ALEXANDER PINEDA RAMIREZ</t>
  </si>
  <si>
    <t>GUSTAVO ANDRES MARADIAGA OSABAS</t>
  </si>
  <si>
    <t>AVENEGO MARTIN NAVARRO ROJAS</t>
  </si>
  <si>
    <t>LUIS ENRIQUE RAMIREZ REYES</t>
  </si>
  <si>
    <t>JOSE MARTIN MIRANDA FRANCO</t>
  </si>
  <si>
    <t>CARLOS EDEN LOPEZ MARTINEZ</t>
  </si>
  <si>
    <t>ELOY ANTONIO HERRERA</t>
  </si>
  <si>
    <t>FRANCISCO JAVIER NUÑEZ RIVAS</t>
  </si>
  <si>
    <t>JORGE LUIS HERRERA NOVOA</t>
  </si>
  <si>
    <t>GERARDO JOSE MEZA</t>
  </si>
  <si>
    <t>Operador de Intercambio</t>
  </si>
  <si>
    <t>Ayudante II M</t>
  </si>
  <si>
    <t>Operador de Cabezal II</t>
  </si>
  <si>
    <t>Operador de intercambio</t>
  </si>
  <si>
    <t>Operador de Cabezal I</t>
  </si>
  <si>
    <t>Operador de cabezal II</t>
  </si>
  <si>
    <t>Operador de Maquinaria Pesada I</t>
  </si>
  <si>
    <t>Operador de Maquinaria Pesada II</t>
  </si>
  <si>
    <t>Operador de Maquinaria Pesada III</t>
  </si>
  <si>
    <t>Operador  de Tractor III</t>
  </si>
  <si>
    <t>Auxiliar de Patio de Caña</t>
  </si>
  <si>
    <t>Auxiliar de patio de caña</t>
  </si>
  <si>
    <t>San Jose de las Marias</t>
  </si>
  <si>
    <t>La Pistola</t>
  </si>
  <si>
    <t>Las Grietas</t>
  </si>
  <si>
    <t>Santa Celia</t>
  </si>
  <si>
    <t>Malpaisillo</t>
  </si>
  <si>
    <t>CHAMPAS KIMBERLY</t>
  </si>
  <si>
    <t>Solferina</t>
  </si>
  <si>
    <t>Santa Cecilia</t>
  </si>
  <si>
    <t>La India</t>
  </si>
  <si>
    <t xml:space="preserve">Villa 15 </t>
  </si>
  <si>
    <t>Ruta/Ubicación</t>
  </si>
  <si>
    <t>Posición:</t>
  </si>
  <si>
    <t>DETALLE DE PAGO DE VIÁTICOS</t>
  </si>
  <si>
    <t>Proceso: Tranporte y Red Vial</t>
  </si>
  <si>
    <t>Gerencia: Agrícola</t>
  </si>
  <si>
    <t>Gerente de Área</t>
  </si>
  <si>
    <t>Responsable de Área</t>
  </si>
  <si>
    <t xml:space="preserve">        Coordinador de PyC de Área</t>
  </si>
  <si>
    <t>Nomina</t>
  </si>
  <si>
    <t>PLANILLA DE VIÁTICOS DE ALIMENTACIÓN  Y TRANSPORTE</t>
  </si>
  <si>
    <t>_Transporte</t>
  </si>
  <si>
    <t>Alimentacion</t>
  </si>
  <si>
    <t>Codigo</t>
  </si>
  <si>
    <t>Total</t>
  </si>
  <si>
    <t>Centro de Costo:</t>
  </si>
  <si>
    <t>________________________________</t>
  </si>
  <si>
    <t>______________________________</t>
  </si>
  <si>
    <t>ALBERTO DE LA CONCEPCION NORORIS BURGOS</t>
  </si>
  <si>
    <t>JOSE ANGEL HERRERA MORALES</t>
  </si>
  <si>
    <t>PABLO JUSTINO REAL NUÑEZ</t>
  </si>
  <si>
    <t>JORGE ADALY OSORTO ESPINAL</t>
  </si>
  <si>
    <t>EMILIO ZAMIR MARADIAGA OSABA</t>
  </si>
  <si>
    <t>Trocha Nueva</t>
  </si>
  <si>
    <t>Cristina del Obraje</t>
  </si>
  <si>
    <t>Carlota</t>
  </si>
  <si>
    <t>Puente de Oro</t>
  </si>
  <si>
    <t>Rancho Pando</t>
  </si>
  <si>
    <t>Santa Anita</t>
  </si>
  <si>
    <t>Santa luisa</t>
  </si>
  <si>
    <t>Ojo de Agua</t>
  </si>
  <si>
    <t>San Jose del Obraje</t>
  </si>
  <si>
    <t>Santa Rosa</t>
  </si>
  <si>
    <r>
      <t xml:space="preserve">GERENCIA DE </t>
    </r>
    <r>
      <rPr>
        <b/>
        <sz val="12"/>
        <color rgb="FFFF0000"/>
        <rFont val="Arial Narrow"/>
        <family val="2"/>
      </rPr>
      <t>"AGRICOLA"</t>
    </r>
    <r>
      <rPr>
        <b/>
        <sz val="12"/>
        <color theme="1"/>
        <rFont val="Arial Narrow"/>
        <family val="2"/>
      </rPr>
      <t xml:space="preserve"> </t>
    </r>
  </si>
  <si>
    <r>
      <t xml:space="preserve">PROCESO: </t>
    </r>
    <r>
      <rPr>
        <b/>
        <sz val="12"/>
        <color rgb="FFFF0000"/>
        <rFont val="Arial Narrow"/>
        <family val="2"/>
      </rPr>
      <t>"TRANSPORTE Y RED VIAL"</t>
    </r>
  </si>
  <si>
    <t>Del 25.01.2020 al 07.02.2020</t>
  </si>
  <si>
    <t>25.01.2020 al 07.02.2020. Dicho personal realizo labores de mantenimiento de trochas, riego, toreo, señalizacion  y acceso a rutas cañeras</t>
  </si>
  <si>
    <r>
      <t>PERIODO:</t>
    </r>
    <r>
      <rPr>
        <b/>
        <sz val="12"/>
        <color rgb="FFFF0000"/>
        <rFont val="Arial Narrow"/>
        <family val="2"/>
      </rPr>
      <t xml:space="preserve"> "25.01.2020"</t>
    </r>
    <r>
      <rPr>
        <b/>
        <sz val="12"/>
        <color theme="1"/>
        <rFont val="Arial Narrow"/>
        <family val="2"/>
      </rPr>
      <t xml:space="preserve"> AL </t>
    </r>
    <r>
      <rPr>
        <b/>
        <sz val="12"/>
        <color rgb="FFFF0000"/>
        <rFont val="Arial Narrow"/>
        <family val="2"/>
      </rPr>
      <t>"07.02.2020"</t>
    </r>
  </si>
  <si>
    <t/>
  </si>
  <si>
    <t>__________________________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</si>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</sst>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 * #.##0.00_ ;_ * \-#.##0.00_ ;_ * &quot;-&quot;??_ ;_ @_ "/>
    <numFmt numFmtId="165" formatCode="&quot;C$&quot;#.##00."/>
    <numFmt numFmtId="166" formatCode="dd/mm/yyyy"/>
    <numFmt numFmtId="167" formatCode="_ * #,##0.00_ ;_ * \-#,##0.00_ ;_ * &quot;-&quot;??_ ;_ @_ "/>
    <numFmt numFmtId="169" formatCode="&quot;C$&quot;#.##0.0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2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u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b/>
      <sz val="13"/>
      <name val="Arial"/>
      <family val="2"/>
    </font>
    <font>
      <sz val="13"/>
      <name val="Arial"/>
      <family val="2"/>
    </font>
    <font>
      <sz val="13"/>
      <color rgb="FFFF0000"/>
      <name val="Arial"/>
      <family val="2"/>
    </font>
    <font>
      <sz val="13"/>
      <color theme="0"/>
      <name val="Arial"/>
      <family val="2"/>
    </font>
    <font>
      <sz val="12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b/>
      <sz val="16"/>
      <color theme="1"/>
      <name val="Arial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sz val="10"/>
      <color theme="0"/>
      <name val="Arial"/>
      <family val="2"/>
    </font>
    <font>
      <b/>
      <sz val="14"/>
      <color indexed="12"/>
      <name val="Calibri"/>
      <family val="2"/>
      <scheme val="minor"/>
    </font>
    <font>
      <sz val="14"/>
      <name val="Calibri"/>
      <family val="2"/>
      <scheme val="minor"/>
    </font>
    <font>
      <sz val="14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Calibri"/>
      <scheme val="minor"/>
    </font>
    <font>
      <b/>
      <sz val="10"/>
      <name val="Arial"/>
      <family val="2"/>
    </font>
    <font>
      <b/>
      <sz val="11"/>
      <color rgb="FF3F3F3F"/>
      <name val="Calibri"/>
      <family val="2"/>
      <scheme val="minor"/>
    </font>
    <font>
      <sz val="12"/>
      <color rgb="FF3F3F3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</borders>
  <cellStyleXfs count="9">
    <xf numFmtId="0" fontId="0" fillId="0" borderId="0"/>
    <xf numFmtId="0" fontId="2" fillId="0" borderId="0"/>
    <xf numFmtId="0" fontId="5" fillId="0" borderId="0"/>
    <xf numFmtId="164" fontId="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29" fillId="0" borderId="0"/>
    <xf numFmtId="167" fontId="2" fillId="0" borderId="0" applyFont="0" applyFill="0" applyBorder="0" applyAlignment="0" applyProtection="0"/>
    <xf numFmtId="0" fontId="48" fillId="10" borderId="12" applyNumberFormat="0" applyAlignment="0" applyProtection="0"/>
  </cellStyleXfs>
  <cellXfs count="173">
    <xf numFmtId="0" fontId="0" fillId="0" borderId="0" xfId="0"/>
    <xf numFmtId="0" fontId="2" fillId="2" borderId="0" xfId="1" applyFill="1"/>
    <xf numFmtId="0" fontId="4" fillId="2" borderId="0" xfId="1" applyFont="1" applyFill="1"/>
    <xf numFmtId="0" fontId="4" fillId="2" borderId="0" xfId="1" applyFont="1" applyFill="1" applyAlignment="1">
      <alignment horizontal="centerContinuous" vertical="center"/>
    </xf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0" fontId="8" fillId="0" borderId="0" xfId="1" applyFont="1"/>
    <xf numFmtId="0" fontId="10" fillId="0" borderId="0" xfId="1" applyFont="1" applyFill="1"/>
    <xf numFmtId="0" fontId="10" fillId="0" borderId="0" xfId="1" applyFont="1"/>
    <xf numFmtId="0" fontId="2" fillId="0" borderId="0" xfId="1"/>
    <xf numFmtId="0" fontId="4" fillId="0" borderId="0" xfId="1" applyFont="1" applyBorder="1" applyAlignment="1">
      <alignment horizontal="center"/>
    </xf>
    <xf numFmtId="0" fontId="0" fillId="0" borderId="0" xfId="0" applyAlignment="1"/>
    <xf numFmtId="0" fontId="0" fillId="0" borderId="0" xfId="0" pivotButton="1"/>
    <xf numFmtId="0" fontId="0" fillId="0" borderId="0" xfId="0" applyNumberFormat="1"/>
    <xf numFmtId="0" fontId="4" fillId="0" borderId="0" xfId="1" applyFont="1" applyBorder="1"/>
    <xf numFmtId="0" fontId="4" fillId="0" borderId="0" xfId="1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2" fillId="3" borderId="0" xfId="1" applyFill="1" applyBorder="1"/>
    <xf numFmtId="0" fontId="11" fillId="0" borderId="0" xfId="0" applyFont="1"/>
    <xf numFmtId="0" fontId="12" fillId="0" borderId="0" xfId="1" applyFont="1"/>
    <xf numFmtId="0" fontId="4" fillId="0" borderId="0" xfId="1" applyFont="1" applyAlignment="1">
      <alignment horizontal="center"/>
    </xf>
    <xf numFmtId="0" fontId="0" fillId="0" borderId="0" xfId="0" applyBorder="1" applyAlignment="1"/>
    <xf numFmtId="0" fontId="4" fillId="0" borderId="0" xfId="1" applyFont="1" applyBorder="1" applyAlignment="1">
      <alignment horizontal="right"/>
    </xf>
    <xf numFmtId="0" fontId="4" fillId="0" borderId="0" xfId="1" applyFont="1" applyBorder="1" applyAlignment="1"/>
    <xf numFmtId="0" fontId="0" fillId="0" borderId="1" xfId="0" applyBorder="1" applyAlignment="1"/>
    <xf numFmtId="0" fontId="0" fillId="3" borderId="0" xfId="0" applyFill="1" applyBorder="1" applyAlignment="1"/>
    <xf numFmtId="0" fontId="2" fillId="3" borderId="0" xfId="1" applyFill="1" applyBorder="1" applyAlignment="1">
      <alignment horizontal="center"/>
    </xf>
    <xf numFmtId="0" fontId="8" fillId="0" borderId="0" xfId="1" applyFont="1" applyBorder="1"/>
    <xf numFmtId="0" fontId="0" fillId="0" borderId="6" xfId="0" applyBorder="1"/>
    <xf numFmtId="0" fontId="0" fillId="0" borderId="7" xfId="0" applyBorder="1"/>
    <xf numFmtId="0" fontId="15" fillId="0" borderId="0" xfId="1" applyFont="1"/>
    <xf numFmtId="0" fontId="16" fillId="0" borderId="0" xfId="0" applyFont="1"/>
    <xf numFmtId="0" fontId="17" fillId="0" borderId="0" xfId="1" applyFont="1" applyFill="1" applyBorder="1" applyAlignment="1">
      <alignment horizontal="center"/>
    </xf>
    <xf numFmtId="0" fontId="15" fillId="0" borderId="0" xfId="1" applyFont="1" applyFill="1"/>
    <xf numFmtId="0" fontId="16" fillId="0" borderId="0" xfId="0" applyNumberFormat="1" applyFont="1"/>
    <xf numFmtId="0" fontId="16" fillId="3" borderId="0" xfId="0" applyFont="1" applyFill="1" applyBorder="1" applyAlignment="1"/>
    <xf numFmtId="0" fontId="18" fillId="0" borderId="0" xfId="1" applyFont="1"/>
    <xf numFmtId="0" fontId="3" fillId="0" borderId="0" xfId="1" applyFont="1" applyFill="1" applyBorder="1" applyAlignment="1">
      <alignment horizontal="center"/>
    </xf>
    <xf numFmtId="0" fontId="18" fillId="0" borderId="0" xfId="1" applyFont="1" applyFill="1"/>
    <xf numFmtId="0" fontId="5" fillId="0" borderId="0" xfId="1" applyFont="1" applyBorder="1"/>
    <xf numFmtId="0" fontId="0" fillId="7" borderId="2" xfId="0" applyFill="1" applyBorder="1" applyAlignment="1"/>
    <xf numFmtId="165" fontId="0" fillId="0" borderId="0" xfId="0" applyNumberFormat="1"/>
    <xf numFmtId="0" fontId="20" fillId="0" borderId="0" xfId="0" applyFont="1"/>
    <xf numFmtId="165" fontId="20" fillId="0" borderId="0" xfId="0" applyNumberFormat="1" applyFont="1"/>
    <xf numFmtId="0" fontId="21" fillId="7" borderId="2" xfId="0" applyFont="1" applyFill="1" applyBorder="1" applyAlignment="1"/>
    <xf numFmtId="0" fontId="7" fillId="3" borderId="0" xfId="0" applyFont="1" applyFill="1" applyBorder="1" applyAlignment="1"/>
    <xf numFmtId="0" fontId="19" fillId="3" borderId="0" xfId="1" applyFont="1" applyFill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horizontal="center"/>
    </xf>
    <xf numFmtId="0" fontId="23" fillId="0" borderId="0" xfId="1" applyFont="1"/>
    <xf numFmtId="0" fontId="24" fillId="0" borderId="0" xfId="0" applyFont="1" applyAlignment="1">
      <alignment horizontal="left" vertical="center"/>
    </xf>
    <xf numFmtId="0" fontId="14" fillId="0" borderId="0" xfId="1" applyFont="1" applyAlignment="1"/>
    <xf numFmtId="0" fontId="23" fillId="0" borderId="0" xfId="1" applyFont="1" applyFill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6" xfId="0" applyFont="1" applyBorder="1" applyAlignment="1"/>
    <xf numFmtId="0" fontId="23" fillId="0" borderId="6" xfId="1" applyFont="1" applyBorder="1"/>
    <xf numFmtId="0" fontId="14" fillId="6" borderId="8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0" fillId="0" borderId="6" xfId="0" applyFont="1" applyBorder="1" applyAlignmen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26" fillId="0" borderId="0" xfId="1" applyFont="1" applyAlignment="1">
      <alignment horizontal="left"/>
    </xf>
    <xf numFmtId="0" fontId="1" fillId="0" borderId="0" xfId="1" applyFont="1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43" fontId="14" fillId="6" borderId="10" xfId="5" applyFont="1" applyFill="1" applyBorder="1" applyAlignment="1">
      <alignment horizontal="center"/>
    </xf>
    <xf numFmtId="43" fontId="5" fillId="0" borderId="0" xfId="5" applyFont="1"/>
    <xf numFmtId="43" fontId="8" fillId="0" borderId="0" xfId="5" applyFont="1"/>
    <xf numFmtId="43" fontId="23" fillId="0" borderId="0" xfId="5" applyFont="1"/>
    <xf numFmtId="43" fontId="25" fillId="0" borderId="0" xfId="5" applyFont="1" applyAlignment="1"/>
    <xf numFmtId="43" fontId="23" fillId="0" borderId="0" xfId="5" applyFont="1" applyFill="1"/>
    <xf numFmtId="43" fontId="23" fillId="0" borderId="6" xfId="5" applyFont="1" applyBorder="1"/>
    <xf numFmtId="43" fontId="10" fillId="0" borderId="0" xfId="5" applyFont="1"/>
    <xf numFmtId="43" fontId="10" fillId="0" borderId="0" xfId="5" applyFont="1" applyFill="1" applyAlignment="1">
      <alignment horizontal="left"/>
    </xf>
    <xf numFmtId="43" fontId="2" fillId="3" borderId="0" xfId="5" applyFont="1" applyFill="1" applyBorder="1"/>
    <xf numFmtId="0" fontId="0" fillId="0" borderId="2" xfId="0" applyBorder="1" applyAlignment="1">
      <alignment horizontal="left"/>
    </xf>
    <xf numFmtId="0" fontId="27" fillId="0" borderId="2" xfId="0" applyFont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/>
    <xf numFmtId="0" fontId="0" fillId="0" borderId="2" xfId="0" applyBorder="1" applyAlignment="1"/>
    <xf numFmtId="0" fontId="0" fillId="0" borderId="11" xfId="0" applyBorder="1" applyAlignment="1">
      <alignment horizontal="left"/>
    </xf>
    <xf numFmtId="0" fontId="13" fillId="4" borderId="3" xfId="0" applyFont="1" applyFill="1" applyBorder="1" applyAlignment="1">
      <alignment horizontal="left"/>
    </xf>
    <xf numFmtId="0" fontId="13" fillId="4" borderId="4" xfId="0" applyFont="1" applyFill="1" applyBorder="1" applyAlignment="1">
      <alignment horizontal="left"/>
    </xf>
    <xf numFmtId="0" fontId="13" fillId="4" borderId="5" xfId="0" applyFont="1" applyFill="1" applyBorder="1" applyAlignment="1">
      <alignment horizontal="left"/>
    </xf>
    <xf numFmtId="0" fontId="28" fillId="0" borderId="2" xfId="0" applyFont="1" applyBorder="1" applyAlignment="1">
      <alignment horizontal="left"/>
    </xf>
    <xf numFmtId="0" fontId="29" fillId="0" borderId="0" xfId="6"/>
    <xf numFmtId="0" fontId="30" fillId="0" borderId="0" xfId="6" applyFont="1" applyFill="1" applyBorder="1" applyAlignment="1"/>
    <xf numFmtId="0" fontId="31" fillId="0" borderId="0" xfId="6" applyFont="1" applyFill="1" applyAlignment="1"/>
    <xf numFmtId="0" fontId="30" fillId="0" borderId="0" xfId="6" applyFont="1" applyFill="1"/>
    <xf numFmtId="0" fontId="31" fillId="0" borderId="0" xfId="6" applyFont="1" applyFill="1"/>
    <xf numFmtId="0" fontId="31" fillId="0" borderId="0" xfId="6" applyFont="1" applyFill="1" applyBorder="1" applyAlignment="1"/>
    <xf numFmtId="0" fontId="30" fillId="0" borderId="0" xfId="6" applyFont="1" applyFill="1" applyAlignment="1">
      <alignment horizontal="left"/>
    </xf>
    <xf numFmtId="0" fontId="32" fillId="0" borderId="0" xfId="6" applyFont="1" applyFill="1" applyBorder="1" applyAlignment="1"/>
    <xf numFmtId="0" fontId="32" fillId="0" borderId="0" xfId="6" applyFont="1" applyFill="1" applyAlignment="1"/>
    <xf numFmtId="0" fontId="30" fillId="0" borderId="0" xfId="6" applyFont="1" applyFill="1" applyBorder="1" applyAlignment="1">
      <alignment horizontal="left" vertical="center"/>
    </xf>
    <xf numFmtId="166" fontId="0" fillId="0" borderId="0" xfId="0" applyNumberFormat="1" applyFill="1" applyBorder="1" applyAlignment="1">
      <alignment horizontal="center"/>
    </xf>
    <xf numFmtId="0" fontId="29" fillId="0" borderId="0" xfId="6" applyFill="1" applyBorder="1"/>
    <xf numFmtId="0" fontId="33" fillId="0" borderId="0" xfId="6" applyFont="1" applyFill="1"/>
    <xf numFmtId="0" fontId="33" fillId="3" borderId="0" xfId="6" applyFont="1" applyFill="1"/>
    <xf numFmtId="0" fontId="2" fillId="0" borderId="0" xfId="1" applyAlignment="1">
      <alignment horizontal="center"/>
    </xf>
    <xf numFmtId="0" fontId="34" fillId="0" borderId="0" xfId="1" applyFont="1"/>
    <xf numFmtId="0" fontId="34" fillId="0" borderId="0" xfId="1" applyFont="1" applyAlignment="1">
      <alignment horizontal="center"/>
    </xf>
    <xf numFmtId="0" fontId="38" fillId="0" borderId="0" xfId="1" applyFont="1"/>
    <xf numFmtId="0" fontId="0" fillId="0" borderId="0" xfId="0" applyNumberFormat="1" applyAlignment="1">
      <alignment horizontal="center"/>
    </xf>
    <xf numFmtId="0" fontId="0" fillId="0" borderId="0" xfId="0" pivotButton="1" applyAlignment="1">
      <alignment horizontal="center"/>
    </xf>
    <xf numFmtId="0" fontId="36" fillId="0" borderId="0" xfId="1" applyFont="1" applyBorder="1" applyAlignment="1">
      <alignment horizontal="center"/>
    </xf>
    <xf numFmtId="0" fontId="41" fillId="0" borderId="0" xfId="1" applyFont="1"/>
    <xf numFmtId="0" fontId="35" fillId="9" borderId="0" xfId="1" applyFont="1" applyFill="1" applyBorder="1" applyAlignment="1">
      <alignment horizontal="center"/>
    </xf>
    <xf numFmtId="0" fontId="37" fillId="9" borderId="0" xfId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4" fillId="0" borderId="0" xfId="0" applyFont="1"/>
    <xf numFmtId="0" fontId="41" fillId="0" borderId="0" xfId="1" applyFont="1" applyFill="1"/>
    <xf numFmtId="0" fontId="42" fillId="2" borderId="0" xfId="1" applyFont="1" applyFill="1"/>
    <xf numFmtId="0" fontId="43" fillId="2" borderId="0" xfId="1" applyFont="1" applyFill="1"/>
    <xf numFmtId="0" fontId="44" fillId="2" borderId="0" xfId="1" applyFont="1" applyFill="1"/>
    <xf numFmtId="0" fontId="43" fillId="2" borderId="0" xfId="1" applyFont="1" applyFill="1" applyBorder="1"/>
    <xf numFmtId="0" fontId="10" fillId="2" borderId="0" xfId="1" applyFont="1" applyFill="1"/>
    <xf numFmtId="0" fontId="45" fillId="2" borderId="0" xfId="1" applyFont="1" applyFill="1" applyBorder="1" applyAlignment="1">
      <alignment vertical="center"/>
    </xf>
    <xf numFmtId="0" fontId="45" fillId="2" borderId="0" xfId="1" applyFont="1" applyFill="1" applyAlignment="1">
      <alignment horizontal="centerContinuous" vertical="center"/>
    </xf>
    <xf numFmtId="0" fontId="45" fillId="2" borderId="0" xfId="1" applyFont="1" applyFill="1" applyBorder="1" applyAlignment="1">
      <alignment horizontal="centerContinuous" vertical="center"/>
    </xf>
    <xf numFmtId="0" fontId="45" fillId="2" borderId="0" xfId="1" applyFont="1" applyFill="1" applyBorder="1" applyAlignment="1">
      <alignment horizontal="center" vertical="center"/>
    </xf>
    <xf numFmtId="0" fontId="10" fillId="0" borderId="0" xfId="6" applyFont="1"/>
    <xf numFmtId="0" fontId="43" fillId="2" borderId="0" xfId="1" applyFont="1" applyFill="1" applyAlignment="1">
      <alignment horizontal="centerContinuous" vertical="center"/>
    </xf>
    <xf numFmtId="0" fontId="30" fillId="0" borderId="0" xfId="6" applyFont="1" applyFill="1" applyBorder="1" applyAlignment="1">
      <alignment horizontal="left"/>
    </xf>
    <xf numFmtId="0" fontId="23" fillId="0" borderId="0" xfId="1" applyFont="1" applyBorder="1" applyAlignment="1">
      <alignment horizontal="center"/>
    </xf>
    <xf numFmtId="0" fontId="46" fillId="0" borderId="2" xfId="0" applyFont="1" applyBorder="1" applyAlignment="1">
      <alignment horizontal="left"/>
    </xf>
    <xf numFmtId="0" fontId="2" fillId="7" borderId="2" xfId="1" applyFill="1" applyBorder="1"/>
    <xf numFmtId="0" fontId="2" fillId="0" borderId="0" xfId="1" applyNumberFormat="1" applyFill="1" applyAlignment="1">
      <alignment horizontal="center"/>
    </xf>
    <xf numFmtId="0" fontId="2" fillId="0" borderId="0" xfId="1" applyAlignment="1">
      <alignment horizontal="left"/>
    </xf>
    <xf numFmtId="0" fontId="2" fillId="0" borderId="0" xfId="1" applyNumberFormat="1" applyAlignment="1">
      <alignment horizontal="center"/>
    </xf>
    <xf numFmtId="0" fontId="34" fillId="0" borderId="0" xfId="1" applyFont="1" applyAlignment="1">
      <alignment horizontal="left"/>
    </xf>
    <xf numFmtId="0" fontId="47" fillId="0" borderId="0" xfId="1" applyNumberFormat="1" applyFont="1" applyFill="1" applyAlignment="1">
      <alignment horizontal="center"/>
    </xf>
    <xf numFmtId="0" fontId="47" fillId="0" borderId="0" xfId="1" applyFont="1" applyAlignment="1">
      <alignment horizontal="left"/>
    </xf>
    <xf numFmtId="0" fontId="47" fillId="0" borderId="0" xfId="1" applyNumberFormat="1" applyFont="1" applyAlignment="1">
      <alignment horizontal="center"/>
    </xf>
    <xf numFmtId="43" fontId="47" fillId="0" borderId="0" xfId="5" applyFont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39" fillId="0" borderId="0" xfId="1" applyFont="1" applyAlignment="1">
      <alignment horizontal="center" vertical="center"/>
    </xf>
    <xf numFmtId="0" fontId="30" fillId="0" borderId="0" xfId="6" applyFont="1" applyFill="1" applyAlignment="1">
      <alignment horizontal="center"/>
    </xf>
    <xf numFmtId="0" fontId="48" fillId="10" borderId="12" xfId="8"/>
    <xf numFmtId="0" fontId="48" fillId="10" borderId="13" xfId="8" applyBorder="1"/>
    <xf numFmtId="0" fontId="30" fillId="11" borderId="1" xfId="6" applyFont="1" applyFill="1" applyBorder="1" applyAlignment="1">
      <alignment vertical="center"/>
    </xf>
    <xf numFmtId="0" fontId="30" fillId="11" borderId="1" xfId="6" applyFont="1" applyFill="1" applyBorder="1" applyAlignment="1">
      <alignment horizontal="center" vertical="center"/>
    </xf>
    <xf numFmtId="0" fontId="30" fillId="11" borderId="1" xfId="6" applyFont="1" applyFill="1" applyBorder="1" applyAlignment="1">
      <alignment horizontal="center" vertical="center" wrapText="1"/>
    </xf>
    <xf numFmtId="0" fontId="48" fillId="0" borderId="0" xfId="8" applyFill="1" applyBorder="1"/>
    <xf numFmtId="0" fontId="43" fillId="0" borderId="0" xfId="1" applyFont="1" applyFill="1" applyBorder="1"/>
    <xf numFmtId="0" fontId="45" fillId="0" borderId="0" xfId="1" applyFont="1" applyFill="1" applyBorder="1" applyAlignment="1">
      <alignment vertical="center"/>
    </xf>
    <xf numFmtId="0" fontId="45" fillId="0" borderId="0" xfId="1" applyFont="1" applyFill="1" applyBorder="1" applyAlignment="1">
      <alignment horizontal="center" vertical="center"/>
    </xf>
    <xf numFmtId="0" fontId="10" fillId="0" borderId="0" xfId="6" applyFont="1" applyFill="1" applyBorder="1"/>
    <xf numFmtId="0" fontId="6" fillId="0" borderId="0" xfId="1" applyFont="1" applyFill="1" applyBorder="1"/>
    <xf numFmtId="0" fontId="4" fillId="0" borderId="0" xfId="1" applyFont="1" applyFill="1" applyBorder="1"/>
    <xf numFmtId="0" fontId="10" fillId="0" borderId="0" xfId="1" applyFont="1" applyFill="1" applyBorder="1"/>
    <xf numFmtId="0" fontId="43" fillId="0" borderId="0" xfId="1" applyFont="1" applyFill="1" applyBorder="1" applyAlignment="1">
      <alignment horizontal="center" vertical="center"/>
    </xf>
    <xf numFmtId="0" fontId="3" fillId="0" borderId="0" xfId="1" applyFont="1" applyFill="1" applyBorder="1"/>
    <xf numFmtId="0" fontId="2" fillId="0" borderId="0" xfId="1" applyFill="1" applyBorder="1"/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49" fillId="0" borderId="0" xfId="8" applyFont="1" applyFill="1" applyBorder="1" applyAlignment="1">
      <alignment horizontal="right"/>
    </xf>
    <xf numFmtId="0" fontId="18" fillId="11" borderId="2" xfId="6" applyFont="1" applyFill="1" applyBorder="1" applyAlignment="1">
      <alignment horizontal="right"/>
    </xf>
    <xf numFmtId="0" fontId="23" fillId="11" borderId="2" xfId="6" applyFont="1" applyFill="1" applyBorder="1" applyAlignment="1">
      <alignment horizontal="right"/>
    </xf>
    <xf numFmtId="0" fontId="48" fillId="11" borderId="2" xfId="8" applyFill="1" applyBorder="1" applyAlignment="1">
      <alignment horizontal="right"/>
    </xf>
    <xf numFmtId="0" fontId="48" fillId="0" borderId="0" xfId="8" applyFill="1" applyBorder="1" applyAlignment="1">
      <alignment horizontal="right"/>
    </xf>
    <xf numFmtId="169" fontId="21" fillId="7" borderId="2" xfId="0" applyNumberFormat="1" applyFont="1" applyFill="1" applyBorder="1" applyAlignment="1"/>
    <xf numFmtId="169" fontId="0" fillId="8" borderId="2" xfId="0" applyNumberFormat="1" applyFill="1" applyBorder="1" applyAlignment="1"/>
    <xf numFmtId="169" fontId="0" fillId="8" borderId="1" xfId="0" applyNumberFormat="1" applyFill="1" applyBorder="1" applyAlignment="1"/>
    <xf numFmtId="0" fontId="48" fillId="10" borderId="13" xfId="8" applyBorder="1" applyAlignment="1">
      <alignment horizontal="center"/>
    </xf>
    <xf numFmtId="0" fontId="49" fillId="11" borderId="2" xfId="8" applyFont="1" applyFill="1" applyBorder="1" applyAlignment="1">
      <alignment horizontal="right"/>
    </xf>
  </cellXfs>
  <cellStyles count="9">
    <cellStyle name="Comma 2" xfId="7" xr:uid="{00000000-0005-0000-0000-000001000000}"/>
    <cellStyle name="Millares" xfId="5" builtinId="3"/>
    <cellStyle name="Millares 2" xfId="3" xr:uid="{00000000-0005-0000-0000-000002000000}"/>
    <cellStyle name="Normal" xfId="0" builtinId="0"/>
    <cellStyle name="Normal 2" xfId="1" xr:uid="{00000000-0005-0000-0000-000004000000}"/>
    <cellStyle name="Normal 2 2" xfId="2" xr:uid="{00000000-0005-0000-0000-000005000000}"/>
    <cellStyle name="Normal 3" xfId="4" xr:uid="{00000000-0005-0000-0000-000006000000}"/>
    <cellStyle name="Normal 4" xfId="6" xr:uid="{00000000-0005-0000-0000-000007000000}"/>
    <cellStyle name="Salida" xfId="8" builtinId="21"/>
  </cellStyles>
  <dxfs count="174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u/>
      </font>
    </dxf>
    <dxf>
      <font>
        <u/>
      </font>
    </dxf>
    <dxf>
      <numFmt numFmtId="165" formatCode="&quot;C$&quot;#.##00."/>
    </dxf>
    <dxf>
      <numFmt numFmtId="168" formatCode="&quot;C$&quot;#.##0."/>
    </dxf>
    <dxf>
      <numFmt numFmtId="169" formatCode="&quot;C$&quot;#.##0.0"/>
    </dxf>
    <dxf>
      <numFmt numFmtId="170" formatCode="&quot;C$&quot;#.##0.00"/>
    </dxf>
    <dxf>
      <numFmt numFmtId="171" formatCode="&quot;C$&quot;#.##0.000"/>
    </dxf>
    <dxf>
      <numFmt numFmtId="170" formatCode="&quot;C$&quot;#.##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788457</xdr:colOff>
      <xdr:row>0</xdr:row>
      <xdr:rowOff>67735</xdr:rowOff>
    </xdr:from>
    <xdr:to>
      <xdr:col>5</xdr:col>
      <xdr:colOff>669924</xdr:colOff>
      <xdr:row>0</xdr:row>
      <xdr:rowOff>467785</xdr:rowOff>
    </xdr:to>
    <xdr:sp macro="[0]!ingresa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58707" y="67735"/>
          <a:ext cx="3956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NI" sz="1600" b="1" i="1">
              <a:latin typeface="Arial" panose="020B0604020202020204" pitchFamily="34" charset="0"/>
              <a:cs typeface="Arial" panose="020B0604020202020204" pitchFamily="34" charset="0"/>
            </a:rPr>
            <a:t>INGRESAR VIATICOS</a:t>
          </a:r>
        </a:p>
      </xdr:txBody>
    </xdr:sp>
    <xdr:clientData/>
  </xdr:twoCellAnchor>
  <xdr:twoCellAnchor editAs="oneCell">
    <xdr:from>
      <xdr:col>0</xdr:col>
      <xdr:colOff>1</xdr:colOff>
      <xdr:row>0</xdr:row>
      <xdr:rowOff>9526</xdr:rowOff>
    </xdr:from>
    <xdr:to>
      <xdr:col>1</xdr:col>
      <xdr:colOff>2110469</xdr:colOff>
      <xdr:row>0</xdr:row>
      <xdr:rowOff>504826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6"/>
          <a:ext cx="276225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1114425</xdr:colOff>
      <xdr:row>92</xdr:row>
      <xdr:rowOff>9525</xdr:rowOff>
    </xdr:from>
    <xdr:to>
      <xdr:col>0</xdr:col>
      <xdr:colOff>3000375</xdr:colOff>
      <xdr:row>92</xdr:row>
      <xdr:rowOff>9526</xdr:rowOff>
    </xdr:to>
    <xdr:cxnSp macro="">
      <xdr:nvCxnSpPr>
        <xdr:cNvPr id="4" name="Straight Connector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561975" y="1866900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1114425</xdr:colOff>
      <xdr:row>6</xdr:row>
      <xdr:rowOff>9525</xdr:rowOff>
    </xdr:from>
    <xdr:to>
      <xdr:col>17</xdr:col>
      <xdr:colOff>3000375</xdr:colOff>
      <xdr:row>6</xdr:row>
      <xdr:rowOff>9526</xdr:rowOff>
    </xdr:to>
    <xdr:cxnSp macro="">
      <xdr:nvCxnSpPr>
        <xdr:cNvPr id="8" name="Straight Connector 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 flipV="1">
          <a:off x="561975" y="190976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1" name="Straight Connector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V="1">
          <a:off x="1630680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2" name="Straight Connector 4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3" name="Straight Connector 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4" name="Straight Connector 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5" name="Straight Connector 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6" name="Straight Connector 4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7" name="Straight Connector 4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8" name="Straight Connector 4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19" name="Straight Connector 4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0" name="Straight Connector 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1" name="Straight Connector 4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2" name="Straight Connector 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3" name="Straight Connector 4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4" name="Straight Connector 4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5" name="Straight Connector 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6" name="Straight Connector 4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27" name="Straight Connector 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28" name="Straight Connector 4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29" name="Straight Connector 4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0" name="Straight Connector 4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1" name="Straight Connector 4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21</xdr:row>
      <xdr:rowOff>9525</xdr:rowOff>
    </xdr:from>
    <xdr:to>
      <xdr:col>0</xdr:col>
      <xdr:colOff>3000375</xdr:colOff>
      <xdr:row>21</xdr:row>
      <xdr:rowOff>9526</xdr:rowOff>
    </xdr:to>
    <xdr:cxnSp macro="">
      <xdr:nvCxnSpPr>
        <xdr:cNvPr id="32" name="Straight Connector 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21</xdr:row>
      <xdr:rowOff>9525</xdr:rowOff>
    </xdr:from>
    <xdr:to>
      <xdr:col>0</xdr:col>
      <xdr:colOff>3000375</xdr:colOff>
      <xdr:row>21</xdr:row>
      <xdr:rowOff>9526</xdr:rowOff>
    </xdr:to>
    <xdr:cxnSp macro="">
      <xdr:nvCxnSpPr>
        <xdr:cNvPr id="33" name="Straight Connector 4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4" name="Straight Connector 4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5" name="Straight Connector 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V="1">
          <a:off x="16259175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6" name="Straight Connector 4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20</xdr:row>
      <xdr:rowOff>9525</xdr:rowOff>
    </xdr:from>
    <xdr:to>
      <xdr:col>0</xdr:col>
      <xdr:colOff>3000375</xdr:colOff>
      <xdr:row>20</xdr:row>
      <xdr:rowOff>9526</xdr:rowOff>
    </xdr:to>
    <xdr:cxnSp macro="">
      <xdr:nvCxnSpPr>
        <xdr:cNvPr id="37" name="Straight Connector 4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19</xdr:row>
      <xdr:rowOff>9525</xdr:rowOff>
    </xdr:from>
    <xdr:to>
      <xdr:col>0</xdr:col>
      <xdr:colOff>3000375</xdr:colOff>
      <xdr:row>19</xdr:row>
      <xdr:rowOff>9526</xdr:rowOff>
    </xdr:to>
    <xdr:cxnSp macro="">
      <xdr:nvCxnSpPr>
        <xdr:cNvPr id="38" name="Straight Connector 4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21</xdr:row>
      <xdr:rowOff>9525</xdr:rowOff>
    </xdr:from>
    <xdr:to>
      <xdr:col>0</xdr:col>
      <xdr:colOff>3000375</xdr:colOff>
      <xdr:row>21</xdr:row>
      <xdr:rowOff>9526</xdr:rowOff>
    </xdr:to>
    <xdr:cxnSp macro="">
      <xdr:nvCxnSpPr>
        <xdr:cNvPr id="39" name="Straight Connector 4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40" name="Straight Connector 4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18</xdr:row>
      <xdr:rowOff>9525</xdr:rowOff>
    </xdr:from>
    <xdr:to>
      <xdr:col>0</xdr:col>
      <xdr:colOff>3000375</xdr:colOff>
      <xdr:row>18</xdr:row>
      <xdr:rowOff>9526</xdr:rowOff>
    </xdr:to>
    <xdr:cxnSp macro="">
      <xdr:nvCxnSpPr>
        <xdr:cNvPr id="41" name="Straight Connector 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2" name="Straight Connector 4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3" name="Straight Connector 4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4" name="Straight Connector 4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5" name="Straight Connector 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6" name="Straight Connector 4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7" name="Straight Connector 4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8" name="Straight Connector 4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49" name="Straight Connector 4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0" name="Straight Connector 4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1" name="Straight Connector 4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2" name="Straight Connector 4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3" name="Straight Connector 4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4" name="Straight Connector 4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5" name="Straight Connector 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6" name="Straight Connector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7" name="Straight Connector 4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8" name="Straight Connector 4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59" name="Straight Connector 4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0" name="Straight Connector 4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1" name="Straight Connector 4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2" name="Straight Connector 4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3" name="Straight Connector 4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4" name="Straight Connector 4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5" name="Straight Connector 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6" name="Straight Connector 4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7" name="Straight Connector 4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8" name="Straight Connector 4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69" name="Straight Connector 4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0" name="Straight Connector 4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1" name="Straight Connector 4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2" name="Straight Connector 4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3" name="Straight Connector 4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4" name="Straight Connector 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5" name="Straight Connector 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6" name="Straight Connector 4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7" name="Straight Connector 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8" name="Straight Connector 4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79" name="Straight Connector 4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0" name="Straight Connector 4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1" name="Straight Connector 4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2" name="Straight Connector 4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3" name="Straight Connector 4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4" name="Straight Connector 4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5" name="Straight Connector 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6" name="Straight Connector 4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7" name="Straight Connector 4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8" name="Straight Connector 4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89" name="Straight Connector 4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90" name="Straight Connector 4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66</xdr:row>
      <xdr:rowOff>9525</xdr:rowOff>
    </xdr:from>
    <xdr:to>
      <xdr:col>0</xdr:col>
      <xdr:colOff>3000375</xdr:colOff>
      <xdr:row>66</xdr:row>
      <xdr:rowOff>9526</xdr:rowOff>
    </xdr:to>
    <xdr:cxnSp macro="">
      <xdr:nvCxnSpPr>
        <xdr:cNvPr id="91" name="Straight Connector 4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65</xdr:row>
      <xdr:rowOff>9525</xdr:rowOff>
    </xdr:from>
    <xdr:to>
      <xdr:col>0</xdr:col>
      <xdr:colOff>3000375</xdr:colOff>
      <xdr:row>65</xdr:row>
      <xdr:rowOff>9526</xdr:rowOff>
    </xdr:to>
    <xdr:cxnSp macro="">
      <xdr:nvCxnSpPr>
        <xdr:cNvPr id="92" name="Straight Connector 4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65</xdr:row>
      <xdr:rowOff>9525</xdr:rowOff>
    </xdr:from>
    <xdr:to>
      <xdr:col>0</xdr:col>
      <xdr:colOff>3000375</xdr:colOff>
      <xdr:row>65</xdr:row>
      <xdr:rowOff>9526</xdr:rowOff>
    </xdr:to>
    <xdr:cxnSp macro="">
      <xdr:nvCxnSpPr>
        <xdr:cNvPr id="93" name="Straight Connector 4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65</xdr:row>
      <xdr:rowOff>9525</xdr:rowOff>
    </xdr:from>
    <xdr:to>
      <xdr:col>0</xdr:col>
      <xdr:colOff>3000375</xdr:colOff>
      <xdr:row>65</xdr:row>
      <xdr:rowOff>9526</xdr:rowOff>
    </xdr:to>
    <xdr:cxnSp macro="">
      <xdr:nvCxnSpPr>
        <xdr:cNvPr id="94" name="Straight Connector 4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5" name="Straight Connector 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6" name="Straight Connector 4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7" name="Straight Connector 4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8" name="Straight Connector 4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99" name="Straight Connector 4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0" name="Straight Connector 4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1" name="Straight Connector 4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2" name="Straight Connector 4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3" name="Straight Connector 4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4" name="Straight Connector 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5" name="Straight Connector 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6" name="Straight Connector 4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7" name="Straight Connector 4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8" name="Straight Connector 4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09" name="Straight Connector 4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0" name="Straight Connector 4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1" name="Straight Connector 4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2" name="Straight Connector 4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3" name="Straight Connector 4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4" name="Straight Connector 4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5" name="Straight Connector 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6" name="Straight Connector 4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7" name="Straight Connector 4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8" name="Straight Connector 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19" name="Straight Connector 4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0" name="Straight Connector 4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CxnSpPr/>
      </xdr:nvCxnSpPr>
      <xdr:spPr>
        <a:xfrm flipV="1">
          <a:off x="16897350" y="13239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4" name="Straight Connector 4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5" name="Straight Connector 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6" name="Straight Connector 4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7" name="Straight Connector 4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8" name="Straight Connector 4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29" name="Straight Connector 4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90</xdr:row>
      <xdr:rowOff>9525</xdr:rowOff>
    </xdr:from>
    <xdr:to>
      <xdr:col>0</xdr:col>
      <xdr:colOff>3000375</xdr:colOff>
      <xdr:row>90</xdr:row>
      <xdr:rowOff>9526</xdr:rowOff>
    </xdr:to>
    <xdr:cxnSp macro="">
      <xdr:nvCxnSpPr>
        <xdr:cNvPr id="130" name="Straight Connector 4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97</xdr:row>
      <xdr:rowOff>9525</xdr:rowOff>
    </xdr:from>
    <xdr:to>
      <xdr:col>0</xdr:col>
      <xdr:colOff>3000375</xdr:colOff>
      <xdr:row>97</xdr:row>
      <xdr:rowOff>9526</xdr:rowOff>
    </xdr:to>
    <xdr:cxnSp macro="">
      <xdr:nvCxnSpPr>
        <xdr:cNvPr id="131" name="Straight Connector 4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97</xdr:row>
      <xdr:rowOff>9525</xdr:rowOff>
    </xdr:from>
    <xdr:to>
      <xdr:col>0</xdr:col>
      <xdr:colOff>3000375</xdr:colOff>
      <xdr:row>97</xdr:row>
      <xdr:rowOff>9526</xdr:rowOff>
    </xdr:to>
    <xdr:cxnSp macro="">
      <xdr:nvCxnSpPr>
        <xdr:cNvPr id="132" name="Straight Connector 4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3" name="Straight Connector 4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/>
      </xdr:nvCxnSpPr>
      <xdr:spPr>
        <a:xfrm flipV="1">
          <a:off x="16992600" y="13430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66675</xdr:colOff>
      <xdr:row>0</xdr:row>
      <xdr:rowOff>47625</xdr:rowOff>
    </xdr:from>
    <xdr:to>
      <xdr:col>2</xdr:col>
      <xdr:colOff>685466</xdr:colOff>
      <xdr:row>3</xdr:row>
      <xdr:rowOff>38100</xdr:rowOff>
    </xdr:to>
    <xdr:pic>
      <xdr:nvPicPr>
        <xdr:cNvPr id="135" name="Picture 1" descr="final logo color 1585 CVU 2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7625"/>
          <a:ext cx="1999916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6" name="Straight Connector 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7" name="Straight Connector 4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8" name="Straight Connector 4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39" name="Straight Connector 4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0" name="Straight Connector 4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V="1">
          <a:off x="19069050" y="13906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1" name="Straight Connector 4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2" name="Straight Connector 4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3" name="Straight Connector 4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4" name="Straight Connector 4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5" name="Straight Connector 4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6" name="Straight Connector 4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7" name="Straight Connector 4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CxnSpPr/>
      </xdr:nvCxnSpPr>
      <xdr:spPr>
        <a:xfrm flipV="1">
          <a:off x="19069050" y="13811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148" name="Straight Connector 4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/>
      </xdr:nvCxnSpPr>
      <xdr:spPr>
        <a:xfrm flipV="1">
          <a:off x="19164300" y="12668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49" name="Straight Connector 4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CxnSpPr/>
      </xdr:nvCxnSpPr>
      <xdr:spPr>
        <a:xfrm flipV="1">
          <a:off x="19164300" y="126682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0" name="Straight Connector 4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1" name="Straight Connector 4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2" name="Straight Connector 4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3" name="Straight Connector 4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4" name="Straight Connector 4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5" name="Straight Connector 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6" name="Straight Connector 4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7" name="Straight Connector 4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8" name="Straight Connector 4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59" name="Straight Connector 4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0" name="Straight Connector 4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1" name="Straight Connector 4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2" name="Straight Connector 4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3" name="Straight Connector 4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4" name="Straight Connector 4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5" name="Straight Connector 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6" name="Straight Connector 4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7" name="Straight Connector 4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8" name="Straight Connector 4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69" name="Straight Connector 4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0" name="Straight Connector 4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1" name="Straight Connector 4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2" name="Straight Connector 4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3" name="Straight Connector 4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4" name="Straight Connector 4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5" name="Straight Connector 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6" name="Straight Connector 4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7" name="Straight Connector 4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8" name="Straight Connector 4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79" name="Straight Connector 4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0" name="Straight Connector 4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1" name="Straight Connector 4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2" name="Straight Connector 4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3" name="Straight Connector 4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4" name="Straight Connector 4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5" name="Straight Connector 4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6" name="Straight Connector 4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7" name="Straight Connector 4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8" name="Straight Connector 4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89" name="Straight Connector 4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0" name="Straight Connector 4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1" name="Straight Connector 4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2" name="Straight Connector 4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3" name="Straight Connector 4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4" name="Straight Connector 4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5" name="Straight Connector 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6" name="Straight Connector 4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7" name="Straight Connector 4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8" name="Straight Connector 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199" name="Straight Connector 4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0" name="Straight Connector 4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1" name="Straight Connector 4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2" name="Straight Connector 4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3" name="Straight Connector 4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4" name="Straight Connector 4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5" name="Straight Connector 4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6" name="Straight Connector 4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7" name="Straight Connector 4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8" name="Straight Connector 4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09" name="Straight Connector 4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0" name="Straight Connector 4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1" name="Straight Connector 4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2" name="Straight Connector 4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3" name="Straight Connector 4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4" name="Straight Connector 4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5" name="Straight Connector 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6" name="Straight Connector 4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7" name="Straight Connector 4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8" name="Straight Connector 4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19" name="Straight Connector 4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0" name="Straight Connector 4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1" name="Straight Connector 4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99</xdr:row>
      <xdr:rowOff>9525</xdr:rowOff>
    </xdr:from>
    <xdr:to>
      <xdr:col>1</xdr:col>
      <xdr:colOff>3000375</xdr:colOff>
      <xdr:row>99</xdr:row>
      <xdr:rowOff>9526</xdr:rowOff>
    </xdr:to>
    <xdr:cxnSp macro="">
      <xdr:nvCxnSpPr>
        <xdr:cNvPr id="222" name="Straight Connector 4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110</xdr:row>
      <xdr:rowOff>9525</xdr:rowOff>
    </xdr:from>
    <xdr:to>
      <xdr:col>1</xdr:col>
      <xdr:colOff>3000375</xdr:colOff>
      <xdr:row>110</xdr:row>
      <xdr:rowOff>9526</xdr:rowOff>
    </xdr:to>
    <xdr:cxnSp macro="">
      <xdr:nvCxnSpPr>
        <xdr:cNvPr id="223" name="Straight Connector 4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110</xdr:row>
      <xdr:rowOff>9525</xdr:rowOff>
    </xdr:from>
    <xdr:to>
      <xdr:col>1</xdr:col>
      <xdr:colOff>3000375</xdr:colOff>
      <xdr:row>110</xdr:row>
      <xdr:rowOff>9526</xdr:rowOff>
    </xdr:to>
    <xdr:cxnSp macro="">
      <xdr:nvCxnSpPr>
        <xdr:cNvPr id="224" name="Straight Connector 4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96</xdr:row>
      <xdr:rowOff>9525</xdr:rowOff>
    </xdr:from>
    <xdr:to>
      <xdr:col>1</xdr:col>
      <xdr:colOff>3000375</xdr:colOff>
      <xdr:row>96</xdr:row>
      <xdr:rowOff>9526</xdr:rowOff>
    </xdr:to>
    <xdr:cxnSp macro="">
      <xdr:nvCxnSpPr>
        <xdr:cNvPr id="225" name="Straight Connector 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6" name="Straight Connector 4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7" name="Straight Connector 4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8" name="Straight Connector 4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29" name="Straight Connector 4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230" name="Straight Connector 4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28</xdr:row>
      <xdr:rowOff>9525</xdr:rowOff>
    </xdr:from>
    <xdr:to>
      <xdr:col>1</xdr:col>
      <xdr:colOff>3000375</xdr:colOff>
      <xdr:row>28</xdr:row>
      <xdr:rowOff>9526</xdr:rowOff>
    </xdr:to>
    <xdr:cxnSp macro="">
      <xdr:nvCxnSpPr>
        <xdr:cNvPr id="231" name="Straight Connector 4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2" name="Straight Connector 4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3" name="Straight Connector 4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4" name="Straight Connector 4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5" name="Straight Connector 4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6" name="Straight Connector 4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7" name="Straight Connector 4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8" name="Straight Connector 4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39" name="Straight Connector 4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0" name="Straight Connector 4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1" name="Straight Connector 4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2" name="Straight Connector 4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3" name="Straight Connector 4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4" name="Straight Connector 4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5" name="Straight Connector 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6" name="Straight Connector 4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7" name="Straight Connector 4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8" name="Straight Connector 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49" name="Straight Connector 4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0" name="Straight Connector 4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1" name="Straight Connector 4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2" name="Straight Connector 4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3" name="Straight Connector 4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4" name="Straight Connector 4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5" name="Straight Connector 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6" name="Straight Connector 4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7" name="Straight Connector 4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8" name="Straight Connector 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59" name="Straight Connector 4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0" name="Straight Connector 4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1" name="Straight Connector 4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2" name="Straight Connector 4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3" name="Straight Connector 4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4" name="Straight Connector 4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5" name="Straight Connector 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6" name="Straight Connector 4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7" name="Straight Connector 4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8" name="Straight Connector 4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69" name="Straight Connector 4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0" name="Straight Connector 4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1" name="Straight Connector 4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2" name="Straight Connector 4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3" name="Straight Connector 4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4" name="Straight Connector 4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5" name="Straight Connector 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6" name="Straight Connector 4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7" name="Straight Connector 4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8" name="Straight Connector 4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79" name="Straight Connector 4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0" name="Straight Connector 4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1" name="Straight Connector 4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2" name="Straight Connector 4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3" name="Straight Connector 4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4" name="Straight Connector 4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5" name="Straight Connector 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6" name="Straight Connector 4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7" name="Straight Connector 4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8" name="Straight Connector 4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89" name="Straight Connector 4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0" name="Straight Connector 4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1" name="Straight Connector 4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2" name="Straight Connector 4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3" name="Straight Connector 4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4" name="Straight Connector 4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5" name="Straight Connector 4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6" name="Straight Connector 4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7" name="Straight Connector 4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8" name="Straight Connector 4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299" name="Straight Connector 4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0" name="Straight Connector 4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1" name="Straight Connector 4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2" name="Straight Connector 4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3" name="Straight Connector 4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4" name="Straight Connector 4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5" name="Straight Connector 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6" name="Straight Connector 4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7" name="Straight Connector 4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8" name="Straight Connector 4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09" name="Straight Connector 4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0" name="Straight Connector 4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1" name="Straight Connector 4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2" name="Straight Connector 4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3" name="Straight Connector 4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4" name="Straight Connector 4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5" name="Straight Connector 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6" name="Straight Connector 4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7" name="Straight Connector 4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8" name="Straight Connector 4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19" name="Straight Connector 4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0" name="Straight Connector 4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1" name="Straight Connector 4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2" name="Straight Connector 4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3" name="Straight Connector 4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4" name="Straight Connector 4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5" name="Straight Connector 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6" name="Straight Connector 4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7" name="Straight Connector 4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8" name="Straight Connector 4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29" name="Straight Connector 4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0" name="Straight Connector 4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1" name="Straight Connector 4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2" name="Straight Connector 4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3" name="Straight Connector 4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4" name="Straight Connector 4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128</xdr:row>
      <xdr:rowOff>9525</xdr:rowOff>
    </xdr:from>
    <xdr:to>
      <xdr:col>1</xdr:col>
      <xdr:colOff>3000375</xdr:colOff>
      <xdr:row>128</xdr:row>
      <xdr:rowOff>9526</xdr:rowOff>
    </xdr:to>
    <xdr:cxnSp macro="">
      <xdr:nvCxnSpPr>
        <xdr:cNvPr id="335" name="Straight Connector 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96</xdr:row>
      <xdr:rowOff>9525</xdr:rowOff>
    </xdr:from>
    <xdr:to>
      <xdr:col>1</xdr:col>
      <xdr:colOff>3000375</xdr:colOff>
      <xdr:row>96</xdr:row>
      <xdr:rowOff>9526</xdr:rowOff>
    </xdr:to>
    <xdr:cxnSp macro="">
      <xdr:nvCxnSpPr>
        <xdr:cNvPr id="336" name="Straight Connector 4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97</xdr:row>
      <xdr:rowOff>9525</xdr:rowOff>
    </xdr:from>
    <xdr:to>
      <xdr:col>1</xdr:col>
      <xdr:colOff>3000375</xdr:colOff>
      <xdr:row>97</xdr:row>
      <xdr:rowOff>9526</xdr:rowOff>
    </xdr:to>
    <xdr:cxnSp macro="">
      <xdr:nvCxnSpPr>
        <xdr:cNvPr id="337" name="Straight Connector 4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61</xdr:row>
      <xdr:rowOff>9525</xdr:rowOff>
    </xdr:from>
    <xdr:to>
      <xdr:col>1</xdr:col>
      <xdr:colOff>3000375</xdr:colOff>
      <xdr:row>61</xdr:row>
      <xdr:rowOff>9526</xdr:rowOff>
    </xdr:to>
    <xdr:cxnSp macro="">
      <xdr:nvCxnSpPr>
        <xdr:cNvPr id="338" name="Straight Connector 4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61</xdr:row>
      <xdr:rowOff>9525</xdr:rowOff>
    </xdr:from>
    <xdr:to>
      <xdr:col>1</xdr:col>
      <xdr:colOff>3000375</xdr:colOff>
      <xdr:row>61</xdr:row>
      <xdr:rowOff>9526</xdr:rowOff>
    </xdr:to>
    <xdr:cxnSp macro="">
      <xdr:nvCxnSpPr>
        <xdr:cNvPr id="339" name="Straight Connector 4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40" name="Straight Connector 4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41" name="Straight Connector 4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2" name="Straight Connector 4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43" name="Straight Connector 4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44" name="Straight Connector 4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45" name="Straight Connector 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6" name="Straight Connector 4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7" name="Straight Connector 4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8" name="Straight Connector 4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49" name="Straight Connector 4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350" name="Straight Connector 4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351" name="Straight Connector 4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352" name="Straight Connector 4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53" name="Straight Connector 4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54" name="Straight Connector 4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/>
      </xdr:nvCxnSpPr>
      <xdr:spPr>
        <a:xfrm flipV="1">
          <a:off x="1916430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43</xdr:row>
      <xdr:rowOff>9525</xdr:rowOff>
    </xdr:from>
    <xdr:to>
      <xdr:col>1</xdr:col>
      <xdr:colOff>3000375</xdr:colOff>
      <xdr:row>43</xdr:row>
      <xdr:rowOff>9526</xdr:rowOff>
    </xdr:to>
    <xdr:cxnSp macro="">
      <xdr:nvCxnSpPr>
        <xdr:cNvPr id="355" name="Straight Connector 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43</xdr:row>
      <xdr:rowOff>9525</xdr:rowOff>
    </xdr:from>
    <xdr:to>
      <xdr:col>1</xdr:col>
      <xdr:colOff>3000375</xdr:colOff>
      <xdr:row>43</xdr:row>
      <xdr:rowOff>9526</xdr:rowOff>
    </xdr:to>
    <xdr:cxnSp macro="">
      <xdr:nvCxnSpPr>
        <xdr:cNvPr id="356" name="Straight Connector 4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42</xdr:row>
      <xdr:rowOff>9525</xdr:rowOff>
    </xdr:from>
    <xdr:to>
      <xdr:col>1</xdr:col>
      <xdr:colOff>3000375</xdr:colOff>
      <xdr:row>42</xdr:row>
      <xdr:rowOff>9526</xdr:rowOff>
    </xdr:to>
    <xdr:cxnSp macro="">
      <xdr:nvCxnSpPr>
        <xdr:cNvPr id="357" name="Straight Connector 4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58" name="Straight Connector 4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59" name="Straight Connector 4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60" name="Straight Connector 4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46</xdr:row>
      <xdr:rowOff>9525</xdr:rowOff>
    </xdr:from>
    <xdr:to>
      <xdr:col>1</xdr:col>
      <xdr:colOff>3000375</xdr:colOff>
      <xdr:row>46</xdr:row>
      <xdr:rowOff>9526</xdr:rowOff>
    </xdr:to>
    <xdr:cxnSp macro="">
      <xdr:nvCxnSpPr>
        <xdr:cNvPr id="361" name="Straight Connector 4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32</xdr:row>
      <xdr:rowOff>9525</xdr:rowOff>
    </xdr:from>
    <xdr:to>
      <xdr:col>1</xdr:col>
      <xdr:colOff>3000375</xdr:colOff>
      <xdr:row>32</xdr:row>
      <xdr:rowOff>9526</xdr:rowOff>
    </xdr:to>
    <xdr:cxnSp macro="">
      <xdr:nvCxnSpPr>
        <xdr:cNvPr id="362" name="Straight Connector 4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32</xdr:row>
      <xdr:rowOff>9525</xdr:rowOff>
    </xdr:from>
    <xdr:to>
      <xdr:col>1</xdr:col>
      <xdr:colOff>3000375</xdr:colOff>
      <xdr:row>32</xdr:row>
      <xdr:rowOff>9526</xdr:rowOff>
    </xdr:to>
    <xdr:cxnSp macro="">
      <xdr:nvCxnSpPr>
        <xdr:cNvPr id="363" name="Straight Connector 4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28</xdr:row>
      <xdr:rowOff>9525</xdr:rowOff>
    </xdr:from>
    <xdr:to>
      <xdr:col>1</xdr:col>
      <xdr:colOff>3000375</xdr:colOff>
      <xdr:row>28</xdr:row>
      <xdr:rowOff>9526</xdr:rowOff>
    </xdr:to>
    <xdr:cxnSp macro="">
      <xdr:nvCxnSpPr>
        <xdr:cNvPr id="364" name="Straight Connector 4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28</xdr:row>
      <xdr:rowOff>9525</xdr:rowOff>
    </xdr:from>
    <xdr:to>
      <xdr:col>1</xdr:col>
      <xdr:colOff>3000375</xdr:colOff>
      <xdr:row>28</xdr:row>
      <xdr:rowOff>9526</xdr:rowOff>
    </xdr:to>
    <xdr:cxnSp macro="">
      <xdr:nvCxnSpPr>
        <xdr:cNvPr id="365" name="Straight Connector 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44</xdr:row>
      <xdr:rowOff>9525</xdr:rowOff>
    </xdr:from>
    <xdr:to>
      <xdr:col>1</xdr:col>
      <xdr:colOff>3000375</xdr:colOff>
      <xdr:row>44</xdr:row>
      <xdr:rowOff>9526</xdr:rowOff>
    </xdr:to>
    <xdr:cxnSp macro="">
      <xdr:nvCxnSpPr>
        <xdr:cNvPr id="366" name="Straight Connector 4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41</xdr:row>
      <xdr:rowOff>9525</xdr:rowOff>
    </xdr:from>
    <xdr:to>
      <xdr:col>1</xdr:col>
      <xdr:colOff>3000375</xdr:colOff>
      <xdr:row>41</xdr:row>
      <xdr:rowOff>9526</xdr:rowOff>
    </xdr:to>
    <xdr:cxnSp macro="">
      <xdr:nvCxnSpPr>
        <xdr:cNvPr id="367" name="Straight Connector 4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368" name="Straight Connector 4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69" name="Straight Connector 4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0" name="Straight Connector 4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1" name="Straight Connector 4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2" name="Straight Connector 4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3" name="Straight Connector 4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74" name="Straight Connector 4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75" name="Straight Connector 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CxnSpPr/>
      </xdr:nvCxnSpPr>
      <xdr:spPr>
        <a:xfrm flipV="1">
          <a:off x="17392650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376" name="Straight Connector 4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7" name="Straight Connector 4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78" name="Straight Connector 4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55</xdr:row>
      <xdr:rowOff>9525</xdr:rowOff>
    </xdr:from>
    <xdr:to>
      <xdr:col>1</xdr:col>
      <xdr:colOff>3000375</xdr:colOff>
      <xdr:row>55</xdr:row>
      <xdr:rowOff>9526</xdr:rowOff>
    </xdr:to>
    <xdr:cxnSp macro="">
      <xdr:nvCxnSpPr>
        <xdr:cNvPr id="379" name="Straight Connector 4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0" name="Straight Connector 4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1" name="Straight Connector 4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382" name="Straight Connector 4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83" name="Straight Connector 4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50</xdr:row>
      <xdr:rowOff>9525</xdr:rowOff>
    </xdr:from>
    <xdr:to>
      <xdr:col>1</xdr:col>
      <xdr:colOff>3000375</xdr:colOff>
      <xdr:row>50</xdr:row>
      <xdr:rowOff>9526</xdr:rowOff>
    </xdr:to>
    <xdr:cxnSp macro="">
      <xdr:nvCxnSpPr>
        <xdr:cNvPr id="384" name="Straight Connector 4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53</xdr:row>
      <xdr:rowOff>9525</xdr:rowOff>
    </xdr:from>
    <xdr:to>
      <xdr:col>1</xdr:col>
      <xdr:colOff>3000375</xdr:colOff>
      <xdr:row>53</xdr:row>
      <xdr:rowOff>9526</xdr:rowOff>
    </xdr:to>
    <xdr:cxnSp macro="">
      <xdr:nvCxnSpPr>
        <xdr:cNvPr id="385" name="Straight Connector 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86" name="Straight Connector 4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87" name="Straight Connector 4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88" name="Straight Connector 4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89" name="Straight Connector 4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0" name="Straight Connector 4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1" name="Straight Connector 4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2" name="Straight Connector 4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52</xdr:row>
      <xdr:rowOff>9525</xdr:rowOff>
    </xdr:from>
    <xdr:to>
      <xdr:col>1</xdr:col>
      <xdr:colOff>3000375</xdr:colOff>
      <xdr:row>52</xdr:row>
      <xdr:rowOff>9526</xdr:rowOff>
    </xdr:to>
    <xdr:cxnSp macro="">
      <xdr:nvCxnSpPr>
        <xdr:cNvPr id="393" name="Straight Connector 4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394" name="Straight Connector 4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95" name="Straight Connector 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96" name="Straight Connector 4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397" name="Straight Connector 4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98" name="Straight Connector 4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399" name="Straight Connector 4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400" name="Straight Connector 4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58</xdr:row>
      <xdr:rowOff>9525</xdr:rowOff>
    </xdr:from>
    <xdr:to>
      <xdr:col>1</xdr:col>
      <xdr:colOff>3000375</xdr:colOff>
      <xdr:row>58</xdr:row>
      <xdr:rowOff>9526</xdr:rowOff>
    </xdr:to>
    <xdr:cxnSp macro="">
      <xdr:nvCxnSpPr>
        <xdr:cNvPr id="401" name="Straight Connector 4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54</xdr:row>
      <xdr:rowOff>9525</xdr:rowOff>
    </xdr:from>
    <xdr:to>
      <xdr:col>1</xdr:col>
      <xdr:colOff>3000375</xdr:colOff>
      <xdr:row>54</xdr:row>
      <xdr:rowOff>9526</xdr:rowOff>
    </xdr:to>
    <xdr:cxnSp macro="">
      <xdr:nvCxnSpPr>
        <xdr:cNvPr id="402" name="Straight Connector 4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403" name="Straight Connector 4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33</xdr:row>
      <xdr:rowOff>9525</xdr:rowOff>
    </xdr:from>
    <xdr:to>
      <xdr:col>1</xdr:col>
      <xdr:colOff>3000375</xdr:colOff>
      <xdr:row>33</xdr:row>
      <xdr:rowOff>9526</xdr:rowOff>
    </xdr:to>
    <xdr:cxnSp macro="">
      <xdr:nvCxnSpPr>
        <xdr:cNvPr id="404" name="Straight Connector 4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33</xdr:row>
      <xdr:rowOff>9525</xdr:rowOff>
    </xdr:from>
    <xdr:to>
      <xdr:col>1</xdr:col>
      <xdr:colOff>3000375</xdr:colOff>
      <xdr:row>33</xdr:row>
      <xdr:rowOff>9526</xdr:rowOff>
    </xdr:to>
    <xdr:cxnSp macro="">
      <xdr:nvCxnSpPr>
        <xdr:cNvPr id="405" name="Straight Connector 4">
          <a:extLst>
            <a:ext uri="{FF2B5EF4-FFF2-40B4-BE49-F238E27FC236}">
              <a16:creationId xmlns:a16="http://schemas.microsoft.com/office/drawing/2014/main" id="{00000000-0008-0000-0200-00009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33</xdr:row>
      <xdr:rowOff>9525</xdr:rowOff>
    </xdr:from>
    <xdr:to>
      <xdr:col>1</xdr:col>
      <xdr:colOff>3000375</xdr:colOff>
      <xdr:row>33</xdr:row>
      <xdr:rowOff>9526</xdr:rowOff>
    </xdr:to>
    <xdr:cxnSp macro="">
      <xdr:nvCxnSpPr>
        <xdr:cNvPr id="406" name="Straight Connector 4">
          <a:extLst>
            <a:ext uri="{FF2B5EF4-FFF2-40B4-BE49-F238E27FC236}">
              <a16:creationId xmlns:a16="http://schemas.microsoft.com/office/drawing/2014/main" id="{00000000-0008-0000-0200-00009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37</xdr:row>
      <xdr:rowOff>9525</xdr:rowOff>
    </xdr:from>
    <xdr:to>
      <xdr:col>1</xdr:col>
      <xdr:colOff>3000375</xdr:colOff>
      <xdr:row>37</xdr:row>
      <xdr:rowOff>9526</xdr:rowOff>
    </xdr:to>
    <xdr:cxnSp macro="">
      <xdr:nvCxnSpPr>
        <xdr:cNvPr id="407" name="Straight Connector 4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37</xdr:row>
      <xdr:rowOff>9525</xdr:rowOff>
    </xdr:from>
    <xdr:to>
      <xdr:col>1</xdr:col>
      <xdr:colOff>3000375</xdr:colOff>
      <xdr:row>37</xdr:row>
      <xdr:rowOff>9526</xdr:rowOff>
    </xdr:to>
    <xdr:cxnSp macro="">
      <xdr:nvCxnSpPr>
        <xdr:cNvPr id="408" name="Straight Connector 4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409" name="Straight Connector 4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410" name="Straight Connector 4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27</xdr:row>
      <xdr:rowOff>9525</xdr:rowOff>
    </xdr:from>
    <xdr:to>
      <xdr:col>1</xdr:col>
      <xdr:colOff>3000375</xdr:colOff>
      <xdr:row>27</xdr:row>
      <xdr:rowOff>9526</xdr:rowOff>
    </xdr:to>
    <xdr:cxnSp macro="">
      <xdr:nvCxnSpPr>
        <xdr:cNvPr id="411" name="Straight Connector 4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56</xdr:row>
      <xdr:rowOff>9525</xdr:rowOff>
    </xdr:from>
    <xdr:to>
      <xdr:col>1</xdr:col>
      <xdr:colOff>3000375</xdr:colOff>
      <xdr:row>56</xdr:row>
      <xdr:rowOff>9526</xdr:rowOff>
    </xdr:to>
    <xdr:cxnSp macro="">
      <xdr:nvCxnSpPr>
        <xdr:cNvPr id="412" name="Straight Connector 4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57</xdr:row>
      <xdr:rowOff>9525</xdr:rowOff>
    </xdr:from>
    <xdr:to>
      <xdr:col>1</xdr:col>
      <xdr:colOff>3000375</xdr:colOff>
      <xdr:row>57</xdr:row>
      <xdr:rowOff>9526</xdr:rowOff>
    </xdr:to>
    <xdr:cxnSp macro="">
      <xdr:nvCxnSpPr>
        <xdr:cNvPr id="413" name="Straight Connector 4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60</xdr:row>
      <xdr:rowOff>9525</xdr:rowOff>
    </xdr:from>
    <xdr:to>
      <xdr:col>1</xdr:col>
      <xdr:colOff>3000375</xdr:colOff>
      <xdr:row>60</xdr:row>
      <xdr:rowOff>9526</xdr:rowOff>
    </xdr:to>
    <xdr:cxnSp macro="">
      <xdr:nvCxnSpPr>
        <xdr:cNvPr id="414" name="Straight Connector 4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59</xdr:row>
      <xdr:rowOff>9525</xdr:rowOff>
    </xdr:from>
    <xdr:to>
      <xdr:col>1</xdr:col>
      <xdr:colOff>3000375</xdr:colOff>
      <xdr:row>59</xdr:row>
      <xdr:rowOff>9526</xdr:rowOff>
    </xdr:to>
    <xdr:cxnSp macro="">
      <xdr:nvCxnSpPr>
        <xdr:cNvPr id="415" name="Straight Connector 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6" name="Straight Connector 4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7" name="Straight Connector 4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8" name="Straight Connector 4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66</xdr:row>
      <xdr:rowOff>9525</xdr:rowOff>
    </xdr:from>
    <xdr:to>
      <xdr:col>1</xdr:col>
      <xdr:colOff>3000375</xdr:colOff>
      <xdr:row>66</xdr:row>
      <xdr:rowOff>9526</xdr:rowOff>
    </xdr:to>
    <xdr:cxnSp macro="">
      <xdr:nvCxnSpPr>
        <xdr:cNvPr id="419" name="Straight Connector 4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0" name="Straight Connector 4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1" name="Straight Connector 4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73</xdr:row>
      <xdr:rowOff>9525</xdr:rowOff>
    </xdr:from>
    <xdr:to>
      <xdr:col>1</xdr:col>
      <xdr:colOff>3000375</xdr:colOff>
      <xdr:row>73</xdr:row>
      <xdr:rowOff>9526</xdr:rowOff>
    </xdr:to>
    <xdr:cxnSp macro="">
      <xdr:nvCxnSpPr>
        <xdr:cNvPr id="422" name="Straight Connector 4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3" name="Straight Connector 4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4" name="Straight Connector 4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5" name="Straight Connector 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6" name="Straight Connector 4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7" name="Straight Connector 4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8" name="Straight Connector 4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29" name="Straight Connector 4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0" name="Straight Connector 4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1" name="Straight Connector 4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2" name="Straight Connector 4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3" name="Straight Connector 4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4" name="Straight Connector 4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5" name="Straight Connector 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75</xdr:row>
      <xdr:rowOff>9525</xdr:rowOff>
    </xdr:from>
    <xdr:to>
      <xdr:col>1</xdr:col>
      <xdr:colOff>3000375</xdr:colOff>
      <xdr:row>75</xdr:row>
      <xdr:rowOff>9526</xdr:rowOff>
    </xdr:to>
    <xdr:cxnSp macro="">
      <xdr:nvCxnSpPr>
        <xdr:cNvPr id="436" name="Straight Connector 4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37" name="Straight Connector 4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38" name="Straight Connector 4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39" name="Straight Connector 4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0" name="Straight Connector 4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1" name="Straight Connector 4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2" name="Straight Connector 4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3" name="Straight Connector 4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4" name="Straight Connector 4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76</xdr:row>
      <xdr:rowOff>9525</xdr:rowOff>
    </xdr:from>
    <xdr:to>
      <xdr:col>1</xdr:col>
      <xdr:colOff>3000375</xdr:colOff>
      <xdr:row>76</xdr:row>
      <xdr:rowOff>9526</xdr:rowOff>
    </xdr:to>
    <xdr:cxnSp macro="">
      <xdr:nvCxnSpPr>
        <xdr:cNvPr id="445" name="Straight Connector 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6" name="Straight Connector 4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7" name="Straight Connector 4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8" name="Straight Connector 4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49" name="Straight Connector 4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0" name="Straight Connector 4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1" name="Straight Connector 4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2" name="Straight Connector 4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CxnSpPr/>
      </xdr:nvCxnSpPr>
      <xdr:spPr>
        <a:xfrm flipV="1">
          <a:off x="1679257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129</xdr:row>
      <xdr:rowOff>9525</xdr:rowOff>
    </xdr:from>
    <xdr:to>
      <xdr:col>1</xdr:col>
      <xdr:colOff>3000375</xdr:colOff>
      <xdr:row>129</xdr:row>
      <xdr:rowOff>9526</xdr:rowOff>
    </xdr:to>
    <xdr:cxnSp macro="">
      <xdr:nvCxnSpPr>
        <xdr:cNvPr id="453" name="Straight Connector 4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4" name="Straight Connector 4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5" name="Straight Connector 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6" name="Straight Connector 4">
          <a:extLst>
            <a:ext uri="{FF2B5EF4-FFF2-40B4-BE49-F238E27FC236}">
              <a16:creationId xmlns:a16="http://schemas.microsoft.com/office/drawing/2014/main" id="{7B57FFF5-BA3F-406A-88C6-06754FE6002F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7" name="Straight Connector 4">
          <a:extLst>
            <a:ext uri="{FF2B5EF4-FFF2-40B4-BE49-F238E27FC236}">
              <a16:creationId xmlns:a16="http://schemas.microsoft.com/office/drawing/2014/main" id="{24F4F6C7-1288-4E73-85B7-239B734290C8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8" name="Straight Connector 4">
          <a:extLst>
            <a:ext uri="{FF2B5EF4-FFF2-40B4-BE49-F238E27FC236}">
              <a16:creationId xmlns:a16="http://schemas.microsoft.com/office/drawing/2014/main" id="{7347AE87-92B8-478B-9EF9-18C3055694C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59" name="Straight Connector 4">
          <a:extLst>
            <a:ext uri="{FF2B5EF4-FFF2-40B4-BE49-F238E27FC236}">
              <a16:creationId xmlns:a16="http://schemas.microsoft.com/office/drawing/2014/main" id="{55E181F8-AE61-4B97-89F2-7A1AE38CE1FB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0" name="Straight Connector 4">
          <a:extLst>
            <a:ext uri="{FF2B5EF4-FFF2-40B4-BE49-F238E27FC236}">
              <a16:creationId xmlns:a16="http://schemas.microsoft.com/office/drawing/2014/main" id="{B313B1FB-D9B2-4F77-BC9A-E6A8BEB6E0C0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1" name="Straight Connector 4">
          <a:extLst>
            <a:ext uri="{FF2B5EF4-FFF2-40B4-BE49-F238E27FC236}">
              <a16:creationId xmlns:a16="http://schemas.microsoft.com/office/drawing/2014/main" id="{896EE84A-C95D-4474-89BF-060E837F18D9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2" name="Straight Connector 4">
          <a:extLst>
            <a:ext uri="{FF2B5EF4-FFF2-40B4-BE49-F238E27FC236}">
              <a16:creationId xmlns:a16="http://schemas.microsoft.com/office/drawing/2014/main" id="{1684FC54-0B57-4C13-A3C5-3A8B80506201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3" name="Straight Connector 4">
          <a:extLst>
            <a:ext uri="{FF2B5EF4-FFF2-40B4-BE49-F238E27FC236}">
              <a16:creationId xmlns:a16="http://schemas.microsoft.com/office/drawing/2014/main" id="{DB6A895F-EA54-4EB4-BC93-778334B41FC2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4" name="Straight Connector 4">
          <a:extLst>
            <a:ext uri="{FF2B5EF4-FFF2-40B4-BE49-F238E27FC236}">
              <a16:creationId xmlns:a16="http://schemas.microsoft.com/office/drawing/2014/main" id="{13F3F6C0-9A9D-477A-BEA3-94A7AE10453B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5" name="Straight Connector 4">
          <a:extLst>
            <a:ext uri="{FF2B5EF4-FFF2-40B4-BE49-F238E27FC236}">
              <a16:creationId xmlns:a16="http://schemas.microsoft.com/office/drawing/2014/main" id="{48867CDE-837B-4FA6-9695-59016D09D8B3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6" name="Straight Connector 4">
          <a:extLst>
            <a:ext uri="{FF2B5EF4-FFF2-40B4-BE49-F238E27FC236}">
              <a16:creationId xmlns:a16="http://schemas.microsoft.com/office/drawing/2014/main" id="{FFEEFA76-2DF1-406A-BDE4-904ECD70CBC5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108</xdr:row>
      <xdr:rowOff>9525</xdr:rowOff>
    </xdr:from>
    <xdr:to>
      <xdr:col>1</xdr:col>
      <xdr:colOff>3000375</xdr:colOff>
      <xdr:row>108</xdr:row>
      <xdr:rowOff>9526</xdr:rowOff>
    </xdr:to>
    <xdr:cxnSp macro="">
      <xdr:nvCxnSpPr>
        <xdr:cNvPr id="467" name="Straight Connector 4">
          <a:extLst>
            <a:ext uri="{FF2B5EF4-FFF2-40B4-BE49-F238E27FC236}">
              <a16:creationId xmlns:a16="http://schemas.microsoft.com/office/drawing/2014/main" id="{D58096AA-EF58-46B0-995C-417474BE4CDD}"/>
            </a:ext>
          </a:extLst>
        </xdr:cNvPr>
        <xdr:cNvCxnSpPr/>
      </xdr:nvCxnSpPr>
      <xdr:spPr>
        <a:xfrm flipV="1">
          <a:off x="16887825" y="11620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0</xdr:row>
      <xdr:rowOff>76200</xdr:rowOff>
    </xdr:from>
    <xdr:to>
      <xdr:col>2</xdr:col>
      <xdr:colOff>590550</xdr:colOff>
      <xdr:row>3</xdr:row>
      <xdr:rowOff>133350</xdr:rowOff>
    </xdr:to>
    <xdr:pic>
      <xdr:nvPicPr>
        <xdr:cNvPr id="2" name="Picture 7" descr="final logo color 1585 CVU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" y="76200"/>
          <a:ext cx="1952626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1114425</xdr:colOff>
      <xdr:row>22</xdr:row>
      <xdr:rowOff>9525</xdr:rowOff>
    </xdr:from>
    <xdr:to>
      <xdr:col>0</xdr:col>
      <xdr:colOff>3000375</xdr:colOff>
      <xdr:row>22</xdr:row>
      <xdr:rowOff>9526</xdr:rowOff>
    </xdr:to>
    <xdr:cxnSp macro="">
      <xdr:nvCxnSpPr>
        <xdr:cNvPr id="4" name="Straight Connector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609600" y="3571875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1114425</xdr:colOff>
      <xdr:row>7</xdr:row>
      <xdr:rowOff>9525</xdr:rowOff>
    </xdr:from>
    <xdr:to>
      <xdr:col>33</xdr:col>
      <xdr:colOff>3000375</xdr:colOff>
      <xdr:row>7</xdr:row>
      <xdr:rowOff>9526</xdr:rowOff>
    </xdr:to>
    <xdr:cxnSp macro="">
      <xdr:nvCxnSpPr>
        <xdr:cNvPr id="14" name="Straight Connector 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657225" y="468630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17" name="Straight Connector 3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19050</xdr:colOff>
      <xdr:row>60</xdr:row>
      <xdr:rowOff>180975</xdr:rowOff>
    </xdr:from>
    <xdr:to>
      <xdr:col>44</xdr:col>
      <xdr:colOff>742950</xdr:colOff>
      <xdr:row>60</xdr:row>
      <xdr:rowOff>180977</xdr:rowOff>
    </xdr:to>
    <xdr:cxnSp macro="">
      <xdr:nvCxnSpPr>
        <xdr:cNvPr id="18" name="Straight Connector 5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V="1">
          <a:off x="28308300" y="781050"/>
          <a:ext cx="1809750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19" name="Straight Connector 6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20" name="Straight Connector 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21" name="Straight Connector 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8239</xdr:colOff>
      <xdr:row>60</xdr:row>
      <xdr:rowOff>180975</xdr:rowOff>
    </xdr:from>
    <xdr:to>
      <xdr:col>43</xdr:col>
      <xdr:colOff>2105025</xdr:colOff>
      <xdr:row>60</xdr:row>
      <xdr:rowOff>180977</xdr:rowOff>
    </xdr:to>
    <xdr:cxnSp macro="">
      <xdr:nvCxnSpPr>
        <xdr:cNvPr id="22" name="Straight Connector 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V="1">
          <a:off x="665464" y="13030200"/>
          <a:ext cx="2877836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752475</xdr:colOff>
      <xdr:row>63</xdr:row>
      <xdr:rowOff>142879</xdr:rowOff>
    </xdr:to>
    <xdr:cxnSp macro="">
      <xdr:nvCxnSpPr>
        <xdr:cNvPr id="23" name="Straight Connector 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V="1">
          <a:off x="5695950" y="13592175"/>
          <a:ext cx="2066925" cy="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24" name="Straight Connector 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19050</xdr:colOff>
      <xdr:row>60</xdr:row>
      <xdr:rowOff>180975</xdr:rowOff>
    </xdr:from>
    <xdr:to>
      <xdr:col>44</xdr:col>
      <xdr:colOff>742950</xdr:colOff>
      <xdr:row>60</xdr:row>
      <xdr:rowOff>180977</xdr:rowOff>
    </xdr:to>
    <xdr:cxnSp macro="">
      <xdr:nvCxnSpPr>
        <xdr:cNvPr id="25" name="Straight Connector 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28308300" y="781050"/>
          <a:ext cx="1809750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26" name="Straight Connector 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27" name="Straight Connector 3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28" name="Straight Connector 4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8239</xdr:colOff>
      <xdr:row>60</xdr:row>
      <xdr:rowOff>180975</xdr:rowOff>
    </xdr:from>
    <xdr:to>
      <xdr:col>44</xdr:col>
      <xdr:colOff>753761</xdr:colOff>
      <xdr:row>60</xdr:row>
      <xdr:rowOff>180977</xdr:rowOff>
    </xdr:to>
    <xdr:cxnSp macro="">
      <xdr:nvCxnSpPr>
        <xdr:cNvPr id="29" name="Straight Connector 5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 flipV="1">
          <a:off x="28297489" y="781050"/>
          <a:ext cx="1821847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30" name="Straight Connector 6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31" name="Straight Connector 3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19051</xdr:colOff>
      <xdr:row>60</xdr:row>
      <xdr:rowOff>180975</xdr:rowOff>
    </xdr:from>
    <xdr:to>
      <xdr:col>44</xdr:col>
      <xdr:colOff>53178</xdr:colOff>
      <xdr:row>60</xdr:row>
      <xdr:rowOff>180977</xdr:rowOff>
    </xdr:to>
    <xdr:cxnSp macro="">
      <xdr:nvCxnSpPr>
        <xdr:cNvPr id="32" name="Straight Connector 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 flipV="1">
          <a:off x="28308301" y="781050"/>
          <a:ext cx="1253327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</xdr:row>
      <xdr:rowOff>142875</xdr:rowOff>
    </xdr:from>
    <xdr:to>
      <xdr:col>46</xdr:col>
      <xdr:colOff>380195</xdr:colOff>
      <xdr:row>63</xdr:row>
      <xdr:rowOff>142878</xdr:rowOff>
    </xdr:to>
    <xdr:cxnSp macro="">
      <xdr:nvCxnSpPr>
        <xdr:cNvPr id="33" name="Straight Connector 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30118050" y="1457325"/>
          <a:ext cx="989795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390525</xdr:colOff>
      <xdr:row>60</xdr:row>
      <xdr:rowOff>190500</xdr:rowOff>
    </xdr:from>
    <xdr:to>
      <xdr:col>49</xdr:col>
      <xdr:colOff>933450</xdr:colOff>
      <xdr:row>60</xdr:row>
      <xdr:rowOff>190500</xdr:rowOff>
    </xdr:to>
    <xdr:cxnSp macro="">
      <xdr:nvCxnSpPr>
        <xdr:cNvPr id="34" name="Straight Connector 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31727775" y="790575"/>
          <a:ext cx="1438275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1114425</xdr:colOff>
      <xdr:row>64</xdr:row>
      <xdr:rowOff>9525</xdr:rowOff>
    </xdr:from>
    <xdr:to>
      <xdr:col>42</xdr:col>
      <xdr:colOff>3000375</xdr:colOff>
      <xdr:row>64</xdr:row>
      <xdr:rowOff>9526</xdr:rowOff>
    </xdr:to>
    <xdr:cxnSp macro="">
      <xdr:nvCxnSpPr>
        <xdr:cNvPr id="35" name="Straight Connector 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8239</xdr:colOff>
      <xdr:row>60</xdr:row>
      <xdr:rowOff>180975</xdr:rowOff>
    </xdr:from>
    <xdr:to>
      <xdr:col>44</xdr:col>
      <xdr:colOff>753761</xdr:colOff>
      <xdr:row>60</xdr:row>
      <xdr:rowOff>180977</xdr:rowOff>
    </xdr:to>
    <xdr:cxnSp macro="">
      <xdr:nvCxnSpPr>
        <xdr:cNvPr id="36" name="Straight Connector 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 flipV="1">
          <a:off x="28297489" y="781050"/>
          <a:ext cx="1821847" cy="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1628775</xdr:colOff>
      <xdr:row>63</xdr:row>
      <xdr:rowOff>142875</xdr:rowOff>
    </xdr:from>
    <xdr:to>
      <xdr:col>46</xdr:col>
      <xdr:colOff>38100</xdr:colOff>
      <xdr:row>63</xdr:row>
      <xdr:rowOff>142878</xdr:rowOff>
    </xdr:to>
    <xdr:cxnSp macro="">
      <xdr:nvCxnSpPr>
        <xdr:cNvPr id="37" name="Straight Connector 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 flipV="1">
          <a:off x="30118050" y="1457325"/>
          <a:ext cx="647700" cy="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38" name="Straight Connector 4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39" name="Straight Connector 4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0" name="Straight Connector 4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 flipV="1">
          <a:off x="2889885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1" name="Straight Connector 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 flipV="1">
          <a:off x="291465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2" name="Straight Connector 4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 flipV="1">
          <a:off x="291465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101</xdr:row>
      <xdr:rowOff>9525</xdr:rowOff>
    </xdr:from>
    <xdr:to>
      <xdr:col>1</xdr:col>
      <xdr:colOff>3000375</xdr:colOff>
      <xdr:row>101</xdr:row>
      <xdr:rowOff>9526</xdr:rowOff>
    </xdr:to>
    <xdr:cxnSp macro="">
      <xdr:nvCxnSpPr>
        <xdr:cNvPr id="43" name="Straight Connector 4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 flipV="1">
          <a:off x="29070300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69</xdr:row>
      <xdr:rowOff>9525</xdr:rowOff>
    </xdr:from>
    <xdr:to>
      <xdr:col>1</xdr:col>
      <xdr:colOff>3000375</xdr:colOff>
      <xdr:row>69</xdr:row>
      <xdr:rowOff>9526</xdr:rowOff>
    </xdr:to>
    <xdr:cxnSp macro="">
      <xdr:nvCxnSpPr>
        <xdr:cNvPr id="46" name="Straight Connector 4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 flipV="1">
          <a:off x="2909887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1114425</xdr:colOff>
      <xdr:row>69</xdr:row>
      <xdr:rowOff>9525</xdr:rowOff>
    </xdr:from>
    <xdr:to>
      <xdr:col>1</xdr:col>
      <xdr:colOff>3000375</xdr:colOff>
      <xdr:row>69</xdr:row>
      <xdr:rowOff>9526</xdr:rowOff>
    </xdr:to>
    <xdr:cxnSp macro="">
      <xdr:nvCxnSpPr>
        <xdr:cNvPr id="47" name="Straight Connector 4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 flipV="1">
          <a:off x="2909887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1114425</xdr:colOff>
      <xdr:row>7</xdr:row>
      <xdr:rowOff>9525</xdr:rowOff>
    </xdr:from>
    <xdr:to>
      <xdr:col>0</xdr:col>
      <xdr:colOff>3000375</xdr:colOff>
      <xdr:row>7</xdr:row>
      <xdr:rowOff>9526</xdr:rowOff>
    </xdr:to>
    <xdr:cxnSp macro="">
      <xdr:nvCxnSpPr>
        <xdr:cNvPr id="44" name="Straight Connector 4">
          <a:extLst>
            <a:ext uri="{FF2B5EF4-FFF2-40B4-BE49-F238E27FC236}">
              <a16:creationId xmlns:a16="http://schemas.microsoft.com/office/drawing/2014/main" id="{3553527F-1933-4D0F-AA86-80C5BEFC4197}"/>
            </a:ext>
          </a:extLst>
        </xdr:cNvPr>
        <xdr:cNvCxnSpPr/>
      </xdr:nvCxnSpPr>
      <xdr:spPr>
        <a:xfrm flipV="1">
          <a:off x="2915602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1114425</xdr:colOff>
      <xdr:row>7</xdr:row>
      <xdr:rowOff>9525</xdr:rowOff>
    </xdr:from>
    <xdr:to>
      <xdr:col>33</xdr:col>
      <xdr:colOff>3000375</xdr:colOff>
      <xdr:row>7</xdr:row>
      <xdr:rowOff>9526</xdr:rowOff>
    </xdr:to>
    <xdr:cxnSp macro="">
      <xdr:nvCxnSpPr>
        <xdr:cNvPr id="45" name="Straight Connector 4">
          <a:extLst>
            <a:ext uri="{FF2B5EF4-FFF2-40B4-BE49-F238E27FC236}">
              <a16:creationId xmlns:a16="http://schemas.microsoft.com/office/drawing/2014/main" id="{7ED777B8-A4A9-4F07-9382-D215272E7D21}"/>
            </a:ext>
          </a:extLst>
        </xdr:cNvPr>
        <xdr:cNvCxnSpPr/>
      </xdr:nvCxnSpPr>
      <xdr:spPr>
        <a:xfrm flipV="1">
          <a:off x="29156025" y="1581150"/>
          <a:ext cx="0" cy="1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45903</xdr:colOff>
      <xdr:row>0</xdr:row>
      <xdr:rowOff>149186</xdr:rowOff>
    </xdr:from>
    <xdr:to>
      <xdr:col>2</xdr:col>
      <xdr:colOff>703128</xdr:colOff>
      <xdr:row>4</xdr:row>
      <xdr:rowOff>37870</xdr:rowOff>
    </xdr:to>
    <xdr:pic>
      <xdr:nvPicPr>
        <xdr:cNvPr id="5" name="Picture 4" descr="final logo color 1585 CVU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903" y="149186"/>
          <a:ext cx="2344183" cy="7149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45903</xdr:colOff>
      <xdr:row>0</xdr:row>
      <xdr:rowOff>149186</xdr:rowOff>
    </xdr:from>
    <xdr:to>
      <xdr:col>2</xdr:col>
      <xdr:colOff>703128</xdr:colOff>
      <xdr:row>4</xdr:row>
      <xdr:rowOff>37870</xdr:rowOff>
    </xdr:to>
    <xdr:pic>
      <xdr:nvPicPr>
        <xdr:cNvPr id="2" name="Picture 4" descr="final logo color 1585 CVU 2">
          <a:extLst>
            <a:ext uri="{FF2B5EF4-FFF2-40B4-BE49-F238E27FC236}">
              <a16:creationId xmlns:a16="http://schemas.microsoft.com/office/drawing/2014/main" id="{1630B952-A22F-4594-B2E6-3AED5065A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903" y="149186"/>
          <a:ext cx="2343150" cy="7268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45903</xdr:colOff>
      <xdr:row>0</xdr:row>
      <xdr:rowOff>149186</xdr:rowOff>
    </xdr:from>
    <xdr:to>
      <xdr:col>2</xdr:col>
      <xdr:colOff>703128</xdr:colOff>
      <xdr:row>4</xdr:row>
      <xdr:rowOff>37870</xdr:rowOff>
    </xdr:to>
    <xdr:pic>
      <xdr:nvPicPr>
        <xdr:cNvPr id="2" name="Picture 4" descr="final logo color 1585 CVU 2">
          <a:extLst>
            <a:ext uri="{FF2B5EF4-FFF2-40B4-BE49-F238E27FC236}">
              <a16:creationId xmlns:a16="http://schemas.microsoft.com/office/drawing/2014/main" id="{A923C3D4-F167-44A4-A83E-3BA64C2ED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903" y="149186"/>
          <a:ext cx="2343150" cy="7268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aticos%20Transporte%20al%2007.02.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talogo"/>
      <sheetName val="Database"/>
      <sheetName val="Consolidado"/>
      <sheetName val="NuevoConsolidado"/>
      <sheetName val="Detalle"/>
      <sheetName val="208684"/>
      <sheetName val="202193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than" refreshedDate="43870.470588194446" createdVersion="6" refreshedVersion="6" minRefreshableVersion="3" recordCount="426" xr:uid="{00000000-000A-0000-FFFF-FFFF01000000}">
  <cacheSource type="worksheet">
    <worksheetSource name="Tabla1"/>
  </cacheSource>
  <cacheFields count="14">
    <cacheField name="Código:" numFmtId="0">
      <sharedItems containsSemiMixedTypes="0" containsString="0" containsNumber="1" containsInteger="1" minValue="200183" maxValue="213423" count="296">
        <n v="211475"/>
        <n v="212999"/>
        <n v="202191"/>
        <n v="212314"/>
        <n v="212407"/>
        <n v="213289"/>
        <n v="206970"/>
        <n v="208243"/>
        <n v="212248"/>
        <n v="206988"/>
        <n v="202280"/>
        <n v="206971"/>
        <n v="202121"/>
        <n v="212244"/>
        <n v="203394"/>
        <n v="209780"/>
        <n v="213380"/>
        <n v="212383"/>
        <n v="210471"/>
        <n v="204112"/>
        <n v="208244"/>
        <n v="211419"/>
        <n v="210345"/>
        <n v="203428"/>
        <n v="209398"/>
        <n v="213008"/>
        <n v="213002"/>
        <n v="204854"/>
        <n v="207318"/>
        <n v="204108"/>
        <n v="202113"/>
        <n v="202120"/>
        <n v="206966"/>
        <n v="213007"/>
        <n v="204136"/>
        <n v="208362"/>
        <n v="204119"/>
        <n v="213288"/>
        <n v="213353"/>
        <n v="203593"/>
        <n v="209730"/>
        <n v="203469"/>
        <n v="208966"/>
        <n v="213423"/>
        <n v="212620"/>
        <n v="212998"/>
        <n v="212187"/>
        <n v="203391"/>
        <n v="203374"/>
        <n v="211622"/>
        <n v="211888"/>
        <n v="204784"/>
        <n v="213030"/>
        <n v="201130"/>
        <n v="209508"/>
        <n v="213021"/>
        <n v="213027"/>
        <n v="201033"/>
        <n v="210727"/>
        <n v="213029"/>
        <n v="203339"/>
        <n v="213032"/>
        <n v="213275"/>
        <n v="208496"/>
        <n v="203609"/>
        <n v="212223"/>
        <n v="212226"/>
        <n v="203363"/>
        <n v="211387"/>
        <n v="202098"/>
        <n v="212221"/>
        <n v="210787"/>
        <n v="212409"/>
        <n v="213365"/>
        <n v="210938"/>
        <n v="211341"/>
        <n v="204118"/>
        <n v="203689"/>
        <n v="211319"/>
        <n v="202192"/>
        <n v="212403"/>
        <n v="212619"/>
        <n v="204139" u="1"/>
        <n v="206553" u="1"/>
        <n v="210529" u="1"/>
        <n v="213014" u="1"/>
        <n v="200740" u="1"/>
        <n v="203509" u="1"/>
        <n v="203580" u="1"/>
        <n v="206562" u="1"/>
        <n v="203518" u="1"/>
        <n v="203589" u="1"/>
        <n v="205364" u="1"/>
        <n v="207281" u="1"/>
        <n v="210476" u="1"/>
        <n v="200190" u="1"/>
        <n v="202178" u="1"/>
        <n v="203598" u="1"/>
        <n v="205586" u="1"/>
        <n v="203607" u="1"/>
        <n v="209784" u="1"/>
        <n v="202196" u="1"/>
        <n v="207237" u="1"/>
        <n v="211994" u="1"/>
        <n v="200714" u="1"/>
        <n v="203696" u="1"/>
        <n v="203767" u="1"/>
        <n v="208817" u="1"/>
        <n v="210024" u="1"/>
        <n v="210521" u="1"/>
        <n v="210592" u="1"/>
        <n v="203359" u="1"/>
        <n v="203501" u="1"/>
        <n v="203572" u="1"/>
        <n v="208684" u="1"/>
        <n v="210104" u="1"/>
        <n v="210530" u="1"/>
        <n v="203439" u="1"/>
        <n v="211462" u="1"/>
        <n v="200679" u="1"/>
        <n v="200750" u="1"/>
        <n v="213033" u="1"/>
        <n v="203457" u="1"/>
        <n v="203670" u="1"/>
        <n v="204096" u="1"/>
        <n v="211977" u="1"/>
        <n v="212545" u="1"/>
        <n v="200697" u="1"/>
        <n v="202117" u="1"/>
        <n v="203466" u="1"/>
        <n v="209217" u="1"/>
        <n v="202197" u="1"/>
        <n v="203688" u="1"/>
        <n v="208232" u="1"/>
        <n v="200431" u="1"/>
        <n v="200715" u="1"/>
        <n v="203697" u="1"/>
        <n v="203493" u="1"/>
        <n v="203573" u="1"/>
        <n v="210531" u="1"/>
        <n v="200742" u="1"/>
        <n v="200813" u="1"/>
        <n v="203440" u="1"/>
        <n v="203511" u="1"/>
        <n v="203582" u="1"/>
        <n v="204292" u="1"/>
        <n v="200183" u="1"/>
        <n v="200609" u="1"/>
        <n v="203875" u="1"/>
        <n v="207283" u="1"/>
        <n v="200689" u="1"/>
        <n v="203529" u="1"/>
        <n v="203547" u="1"/>
        <n v="203618" u="1"/>
        <n v="200716" u="1"/>
        <n v="203485" u="1"/>
        <n v="203556" u="1"/>
        <n v="209236" u="1"/>
        <n v="203707" u="1"/>
        <n v="204133" u="1"/>
        <n v="207541" u="1"/>
        <n v="208819" u="1"/>
        <n v="203574" u="1"/>
        <n v="200743" u="1"/>
        <n v="203370" u="1"/>
        <n v="203512" u="1"/>
        <n v="210470" u="1"/>
        <n v="202598" u="1"/>
        <n v="203379" u="1"/>
        <n v="203592" u="1"/>
        <n v="203663" u="1"/>
        <n v="210621" u="1"/>
        <n v="202110" u="1"/>
        <n v="206370" u="1"/>
        <n v="207222" u="1"/>
        <n v="212192" u="1"/>
        <n v="203681" u="1"/>
        <n v="208083" u="1"/>
        <n v="200708" u="1"/>
        <n v="203557" u="1"/>
        <n v="210586" u="1"/>
        <n v="203708" u="1"/>
        <n v="204063" u="1"/>
        <n v="212228" u="1"/>
        <n v="203362" u="1"/>
        <n v="204143" u="1"/>
        <n v="210533" u="1"/>
        <n v="200531" u="1"/>
        <n v="203442" u="1"/>
        <n v="204081" u="1"/>
        <n v="211394" u="1"/>
        <n v="200256" u="1"/>
        <n v="202102" u="1"/>
        <n v="203522" u="1"/>
        <n v="203664" u="1"/>
        <n v="212184" u="1"/>
        <n v="200691" u="1"/>
        <n v="202182" u="1"/>
        <n v="203673" u="1"/>
        <n v="207223" u="1"/>
        <n v="211989" u="1"/>
        <n v="203487" u="1"/>
        <n v="210090" u="1"/>
        <n v="206620" u="1"/>
        <n v="207756" u="1"/>
        <n v="210525" u="1"/>
        <n v="200665" u="1"/>
        <n v="200736" u="1"/>
        <n v="203443" u="1"/>
        <n v="203514" u="1"/>
        <n v="203585" u="1"/>
        <n v="200683" u="1"/>
        <n v="203594" u="1"/>
        <n v="209984" u="1"/>
        <n v="203603" u="1"/>
        <n v="203674" u="1"/>
        <n v="203328" u="1"/>
        <n v="206097" u="1"/>
        <n v="207233" u="1"/>
        <n v="207446" u="1"/>
        <n v="208813" u="1"/>
        <n v="203710" u="1"/>
        <n v="207757" u="1"/>
        <n v="210526" u="1"/>
        <n v="212230" u="1"/>
        <n v="200737" u="1"/>
        <n v="203435" u="1"/>
        <n v="205352" u="1"/>
        <n v="205849" u="1"/>
        <n v="202734" u="1"/>
        <n v="203586" u="1"/>
        <n v="204083" u="1"/>
        <n v="207278" u="1"/>
        <n v="207491" u="1"/>
        <n v="210473" u="1"/>
        <n v="207216" u="1"/>
        <n v="207287" u="1"/>
        <n v="204101" u="1"/>
        <n v="212621" u="1"/>
        <n v="202193" u="1"/>
        <n v="206950" u="1"/>
        <n v="210642" u="1"/>
        <n v="211991" u="1"/>
        <n v="203338" u="1"/>
        <n v="203622" u="1"/>
        <n v="208379" u="1"/>
        <n v="201430" u="1"/>
        <n v="203702" u="1"/>
        <n v="208814" u="1"/>
        <n v="208823" u="1"/>
        <n v="209746" u="1"/>
        <n v="210527" u="1"/>
        <n v="202158" u="1"/>
        <n v="203578" u="1"/>
        <n v="209755" u="1"/>
        <n v="207279" u="1"/>
        <n v="207776" u="1"/>
        <n v="202176" u="1"/>
        <n v="203596" u="1"/>
        <n v="202327" u="1"/>
        <n v="204102" u="1"/>
        <n v="210350" u="1"/>
        <n v="201200" u="1"/>
        <n v="203614" u="1"/>
        <n v="211992" u="1"/>
        <n v="203694" u="1"/>
        <n v="200721" u="1"/>
        <n v="203490" u="1"/>
        <n v="208815" u="1"/>
        <n v="210590" u="1"/>
        <n v="212294" u="1"/>
        <n v="203570" u="1"/>
        <n v="204990" u="1"/>
        <n v="207759" u="1"/>
        <n v="210528" u="1"/>
        <n v="203366" u="1"/>
        <n v="203437" u="1"/>
        <n v="209756" u="1"/>
        <n v="211318" u="1"/>
        <n v="212312" u="1"/>
        <n v="202523" u="1"/>
        <n v="203588" u="1"/>
        <n v="206428" u="1"/>
        <n v="210475" u="1"/>
        <n v="200189" u="1"/>
        <n v="202177" u="1"/>
        <n v="203668" u="1"/>
        <n v="209277" u="1"/>
        <n v="203606" u="1"/>
        <n v="203677" u="1"/>
        <n v="204041" u="1"/>
        <n v="212419" u="1"/>
        <n v="203482" u="1"/>
        <n v="212996" u="1"/>
        <n v="203704" u="1"/>
        <n v="208816" u="1"/>
      </sharedItems>
    </cacheField>
    <cacheField name="Nombre :" numFmtId="0">
      <sharedItems containsBlank="1" count="314">
        <s v="FREDDYS JOSUE AGUILERA ANDRADE"/>
        <s v="CARLOS ALEXANDER PINEDA RAMIREZ"/>
        <s v="FRANCISCO JAVIER ROMERO M."/>
        <s v="JUAN ANIBAL CARDOZA OVIEDO"/>
        <s v="LEONEL ANTONIO SANTOS MARTINEZ"/>
        <s v="WILBER DE JESUS TELLEZ SILVA"/>
        <s v="BAYARDO ANTONIO FLORES REYES"/>
        <s v="CARLOS JOSE REYES AVENDAÑO"/>
        <s v="ERNALDO DAVID GARCIA MEZA"/>
        <s v="EVERT FRANCISCO RAYO PINEDA"/>
        <s v="FILIBERTO JESUS VARELA HERRERA"/>
        <s v="JUAN ANGEL AGUILERA REYES"/>
        <s v="LUIS DE JESUS TORREZ TORREZ"/>
        <s v="LUIS MANUEL HERRERA MONDRAGON"/>
        <s v="OSCAR FRANCISCO CARCAMO HERRERA"/>
        <s v="LUIS ADOLFO BARRERA AYALA"/>
        <s v="GERARDO JOSE MEZA"/>
        <s v="JOSE DOMINGO TERCERO HERNANDEZ"/>
        <s v="REYNALDO JOSE RIVERA MARTINEZ"/>
        <s v="VICENTE DE JESUS ROMERO LANZAS"/>
        <s v="WILLBERTH JOSE OSORIO MERCADO"/>
        <s v="ALFREDO CESAR VALLADAREZ AGUILERA"/>
        <s v="ALEXANDER ALBERTO CAMPOS ESPINOZA"/>
        <s v="FERNANDO JOSE AYALA RIOS"/>
        <s v="KELVIN ENELSON MARADIAGA HERNANDEZ"/>
        <s v="AVENEGO MARTIN NAVARRO ROJAS"/>
        <s v="WILBERTH JACOBO SOMARRIBA ESPINOZA"/>
        <s v="BENITO NUÑEZ VIDAURRE"/>
        <s v="HARRISON WILFREDO OLIVERA MENDOZA"/>
        <s v="FRANCISCO JAVIER CABALLERO CASTILLO"/>
        <s v="LEONEL ISMAEL CORDOBA NARVAEZ"/>
        <s v="SANTOS INES NARVAEZ"/>
        <s v="YELSON MANUEL GARCIA VAZQUEZ"/>
        <s v="GUSTAVO ANDRES MARADIAGA OSABAS"/>
        <s v="EDWIN JAVIER ZARATE"/>
        <s v="PABLO JUSTINO REAL NUÑEZ"/>
        <s v="ARMANDO JOSE CACERES PALMA"/>
        <s v="MANUEL ENRIQUE GUEVARA GODOY"/>
        <s v="ELOY ANTONIO HERRERA"/>
        <s v="LUIS FELIPE ALVARADO MONTES"/>
        <s v="JULIO CESAR PADILLA GRANADO"/>
        <s v="JORGE ISAAC ULLOA"/>
        <s v="JUAN FRANCISCO ORDOÑEZ ESPINAL"/>
        <s v="EMILIO ZAMIR MARADIAGA OSABA"/>
        <s v="LUIS ANGEL PEREZ"/>
        <s v="RONALDO FRANCISCO SANCHEZ ROMERO"/>
        <s v="JOSE RAMON FIGUEROA"/>
        <s v="DARIO JOSE SANTAMARIA RAMIREZ"/>
        <s v="LUIS ANTONIO ALTAMIRANO CANDIA"/>
        <s v="DANIELITO SOFONIA RIVERA"/>
        <s v="RICARDO ANTONIO AQUINO CHAVARRIA"/>
        <s v="ELVER ANTONIO SOMARRIBA CHAVARRIA"/>
        <s v="NELSON JOSE NAVAS IZAGUIRRE"/>
        <s v="JUAN MANUEL CARRASCO"/>
        <s v="ERNESTO GREGORIO RIOS URBINA"/>
        <s v="BRAYAN ANTONIO SEQUEIRA RAMIREZ"/>
        <s v="ERICK ADAN ROJAS GUEVARA"/>
        <s v="MARCOS FRANCISCO ALTAMIRANO CANDIA"/>
        <s v="FRANCISCO JOSE LUNA ROQUE"/>
        <s v="MAYNOR RAMIRO PALACIO CRUZ"/>
        <s v="RAFAEL GUADALUPE HERRERA GOMEZ"/>
        <s v="JORGE LUIS GONZALEZ LOPEZ"/>
        <s v="JUAN DE DIOS ROJAS"/>
        <s v="FELIX ANTONIO GONZALEZ"/>
        <s v="ORLANDO JOSE BLANCO MEJIA"/>
        <s v="GERSSON OSMIR AVELARES RAMIREZ"/>
        <s v="RICARDO JOSE OSABAS REYES"/>
        <s v="JOSE MARIA BONILLA"/>
        <s v="RICARDO ANTONIO BONILLA JUAREZ"/>
        <s v="GILBERTO JESUS POMARES MARTINEZ"/>
        <s v="SANTOS ALBERTO MENDOZA ZAPATA"/>
        <s v="ABRAHAM DE JESUS VELASQUEZ MEJIA"/>
        <s v="GERALD JUNIOR MIRANDA LARIOS"/>
        <s v="JORGE LUIS HERRERA NOVOA"/>
        <s v="DENIS ENRIQUE SANCHEZ ORTIZ"/>
        <s v="ALEJANDRO MARTINEZ ROMERO"/>
        <s v="YLARIO ANTONIO PALMA ZAPATA"/>
        <s v="FERNANDO ARIEL SOMARRIBA MENDOZA"/>
        <s v="FREDY JOSE ESTRADA CASTRO"/>
        <s v="BOANERGES ESCALANTE PEREZ"/>
        <s v="WILFREDO BERNABE JIRON MELENDEZ"/>
        <s v="FERNANDO JOSE CANALES SALINAS"/>
        <s v="" u="1"/>
        <m u="1"/>
        <s v="DIONISIO MERCEDES TREMINIO" u="1"/>
        <s v="ARLETH DAYANA IZQUIERDO HERRERA" u="1"/>
        <s v="AVENEGO MARTIN NAVARO ROJAS" u="1"/>
        <s v="MARIANO DE JESUS ROJAS NUÑEZ" u="1"/>
        <s v="TEOFILO ANTONIO MENDOZA GUTIERREZ" u="1"/>
        <s v="JORGE LUIS MARTINEZ" u="1"/>
        <s v="JOSE BENITO ORTIZ CENTENO" u="1"/>
        <s v="ERLYN JOSE FRANCO MARTINEZ" u="1"/>
        <s v="LUIS MANUEL ALVAREZ MARTINEZ" u="1"/>
        <s v="DARVIN RICARDO GARCIA VIDAURRE" u="1"/>
        <s v="OLIVER ANTONIO SANTELIZ NAVARRO" u="1"/>
        <s v="ARLEN JOSE CANALES BORDAS" u="1"/>
        <s v="FELIX ALFONSO BLANCO CRUZ" u="1"/>
        <s v="DENIS ROBERTO ARROLIGA FLORES" u="1"/>
        <s v="ISAIAS ANTONIO ROMERO SANCHEZ" u="1"/>
        <s v="MATILDE RAYMUNDO DONAIRE RIVAS" u="1"/>
        <s v="EDWIN DAVID GOMEZ RIVERA" u="1"/>
        <s v="CARLOS ALBERTO MORAZAN CASTRO" u="1"/>
        <s v="KEYLIN VERONICA RIVERA ESTRADA" u="1"/>
        <s v="ADAN JOSE JARQUIN" u="1"/>
        <s v="LUIS ALBERTO PEREZ" u="1"/>
        <s v="REYNA ISABEL CAMPOS HERNANDEZ" u="1"/>
        <s v="BRAYAN FRANCISCO LOPEZ MARTINEZ" u="1"/>
        <s v="FILIBERTO JESUS VARELA HERRERA          " u="1"/>
        <s v="JOSE FRANCISCO LUNA LLANES" u="1"/>
        <s v="EDWIN ENRIQUE PINEDA" u="1"/>
        <s v="MARVIN JOSE SALAZAR GARCIA" u="1"/>
        <s v="WILBER ANTONIO ESPINOZA OCHOA" u="1"/>
        <s v="MARLONG MATEO GONZALEZ" u="1"/>
        <s v="MELVIN JOSE NARVAEZ SELVA" u="1"/>
        <s v="VICTOR JOSE MUÑOZ HERRERA" u="1"/>
        <s v="Jose Alberto Cardoza Jarquin" u="1"/>
        <s v="WILLIAM ANTONIO ARMAS RODRIGUEZ" u="1"/>
        <s v="LEONEL ISMAEL CORDOBA NARVAEZ           " u="1"/>
        <s v="BRAYAN BONILLA" u="1"/>
        <s v="JOSE ESTEBAN ROMERO" u="1"/>
        <s v="JAIME JAVIER CATIN LINDO" u="1"/>
        <s v="JOSE ALBERTO GONZALEZ RIVERA" u="1"/>
        <s v="MANUEL DE JESUS FRANCO MENDOZA" u="1"/>
        <s v="BYRON RUFINO LOPEZ MARTINEZ" u="1"/>
        <s v="MARVIN JOSE CORRALES JIMENEZ" u="1"/>
        <s v="WILBERTH JOSE OSORIO MERCADO" u="1"/>
        <s v="SONIA JEANNETTE LOPEZ AVENDAÑO" u="1"/>
        <s v="NIXON NOEL MARTINEZ AMADOR" u="1"/>
        <s v="RAFAEL ANTONIO PEREZ ZELAYA" u="1"/>
        <s v="ELIAS MOISES AVENDAÑO SANTANA" u="1"/>
        <s v="MARVIN DAVID VALLECILLO PONCE" u="1"/>
        <s v="MARLON SIXTO VASQUE CAMPOS" u="1"/>
        <s v="GERALD ISAAC PICADO GUEVARA" u="1"/>
        <s v="VÍCTOR RUFINO CRUZ" u="1"/>
        <s v="RAUL ALFONSO VARELA LOPEZ" u="1"/>
        <s v="VICTOR OMAR ROJAS CARCAMO" u="1"/>
        <s v="NELSON ANTONIO PANTOJA RIOS" u="1"/>
        <s v="ERNALDO DAVID GARCIA MEZA               " u="1"/>
        <s v="MILTON DOMINGO DIAZ RAYO" u="1"/>
        <s v="MARIA SOLEDAD HERRERA LOPEZ" u="1"/>
        <s v="FELIPE SANTIAGO GAITAN RODAS" u="1"/>
        <s v="JOSE DAVID VASQUEZ CAMPOS" u="1"/>
        <s v="LORENZO DANIEL OBANDO AREAS" u="1"/>
        <s v="JUAN ANGEL AGUILERA REYES               " u="1"/>
        <s v="JUAN FRANCISCO ORDOÑEZ ESPINAL          " u="1"/>
        <s v="JUAN RAMON MONCADA GUIDO" u="1"/>
        <s v="JOSE ERNESTO OROZCO JUAREZ" u="1"/>
        <s v="WILFREDO RAMÓN FAJARDO SOLIS" u="1"/>
        <s v="JOSE MERCEDES GALEANO MARTINEZ" u="1"/>
        <s v="MAGDIEL JOSE SILVA GUIDO" u="1"/>
        <s v="MELVIN DANIEL ROJAS CARCAMO" u="1"/>
        <s v="JOSE RAUL ESCOBAR RIVERA" u="1"/>
        <s v="MANUEL DE JESUS FRANCO RAMIREZ" u="1"/>
        <s v="MANUEL DE JESUS GONZALEZ RIVERA " u="1"/>
        <s v="NORVIN DAVID SOLIS CERNA" u="1"/>
        <s v="JULIO CESAR MOLINA" u="1"/>
        <s v="LESTER ALI SEQUEIRA JUAREZ" u="1"/>
        <s v="CARLOS ANTONIO SANCHEZ VILCHEZ" u="1"/>
        <s v="WILBERT JOSE MEDRANO MALDONADO" u="1"/>
        <s v="JUAN RAFAEL GOMEZ" u="1"/>
        <s v="WALTER ISMAEL SERRANO NUÑEZ" u="1"/>
        <s v="ENRIQUE ALEXANDER FRANCO FLORES" u="1"/>
        <s v="ADONIAS PILAR VILLATORO CARRASCO" u="1"/>
        <s v="HECTOR ENRIQUE CALIZ SANCHEZ" u="1"/>
        <s v="FRANKLIN ANTONIO MENDOZA GARCIA" u="1"/>
        <s v="WALTER FRANCISCO NÚÑEZ GONZALEZ" u="1"/>
        <s v="RONALD DE LA CRUZ VELASQUEZ" u="1"/>
        <s v="EVERT FRANCISCO RAYO PINEDA             " u="1"/>
        <s v="EDGAR JACINTO ARCE ALVARADO" u="1"/>
        <s v="CRISTHIAM LORENA ACETUNO CASTELLON" u="1"/>
        <s v="BENITO NUÑEZ VIDAURRE                   " u="1"/>
        <s v="DARBIN JOSE URROZ ROJA" u="1"/>
        <s v="CARLOS ROBERTO CHAVARRIA " u="1"/>
        <s v="PABLO JOSIEL FLORES ROQUE" u="1"/>
        <s v="FABIO JUSTINO COREA GARCIA" u="1"/>
        <s v="FELIX ANTONIO MEDINA RIVAS" u="1"/>
        <s v="ROBERTO ELIAS OVIEDO BUSTILLO" u="1"/>
        <s v="BAYARDO ANTONIO FLORES REYES            " u="1"/>
        <s v="SANTOS INES NARVAEZ                     " u="1"/>
        <s v="HECTOR ALCIDES NEY LEITON" u="1"/>
        <s v="GERMAN DANIEL BERMUDEZ RODRIGUEZ" u="1"/>
        <s v="IRENIO DE JESUS GONZALEZ ESPINOZA" u="1"/>
        <s v="NESTOR GABRIEL MONTENEGRO VALDIVIA      " u="1"/>
        <s v="WILFREDO RAUL MEDINA" u="1"/>
        <s v="JOSE APOLONIO DIAZ RAYO" u="1"/>
        <s v="LUIS SILVERIO PEREZ ZELAYA" u="1"/>
        <s v="YADER JAVIER MENDEZ PICADO" u="1"/>
        <s v="CARLOS MARTIN RODRIGUEZ ESPINOZA" u="1"/>
        <s v="JOSE ROBERTO MAYORGA" u="1"/>
        <s v="JUAN RAMON PEREZ VIVAS" u="1"/>
        <s v="ERVIN DANIEL SOLIS CERNA" u="1"/>
        <s v="JORGE LUIS ULLOA AVELARES" u="1"/>
        <s v="FRANKLIN ALBERTO JUAREZ DIAZ" u="1"/>
        <s v="JUAN CARLOS GUNERA VARELA" u="1"/>
        <s v="CARLOS SINAR VALDIVIA PINEDA" u="1"/>
        <s v="FRANCISCO JAVIER MORENO JIRON" u="1"/>
        <s v="OSMAR DANILO MARTINEZ SANCHEZ" u="1"/>
        <s v="SIMON DE JESUS SABORIO" u="1"/>
        <s v="VILMA LUCIA TORREZ GARCIA" u="1"/>
        <s v="JESUS ALBERTO DUARTE FLORES" u="1"/>
        <s v="LUIS YOJANY PASTRAN GONZALES" u="1"/>
        <s v="JORGE SAMIR DUARTE BETANCO" u="1"/>
        <s v="EDUIN AMILCAR RIVERA RAMIREZ" u="1"/>
        <s v="ISIDRO ROLANDO TEJEDA MENDOZA" u="1"/>
        <s v="SANTOS DONAL MONCADA MARTINEZ" u="1"/>
        <s v="HECTOR ANTONIO MENDOZA MENDOZA" u="1"/>
        <s v="DAVID ALEJANDRO ARMAS RODRIGUEZ" u="1"/>
        <s v="MARCOS ELIAS ESPINOZA VILCHEZ" u="1"/>
        <s v="TEOFILO YAINER FRANCO RAMIREZ" u="1"/>
        <s v="WALMARO AMILCAR HERRERA ZAPATA" u="1"/>
        <s v="DOMINGO ANTONIO RODRIGUEZ PONCE" u="1"/>
        <s v="CARLOS ALEXANDER PINEDA RAMIREZ         " u="1"/>
        <s v="JACKSON CANDELARIO PASTRAN MAYORGA" u="1"/>
        <s v="RAFAEL ANTONIO SALAZAR GARCIA" u="1"/>
        <s v="DANY LESLY PALMA" u="1"/>
        <s v="URIEL FAUTINO MARTINEZ SERRANO" u="1"/>
        <s v="FRANCISCO JAVIERT RODRIGUEZ DAVILA" u="1"/>
        <s v="ANGEL GERARDO ULLOA DIAZ" u="1"/>
        <s v="JOSE LUIS CENTENO ESTEBEN " u="1"/>
        <s v="MIGUEL ANGEL CASTILLO SERRANO" u="1"/>
        <s v="ISIDRO FRANCISCO PICADO MUNGUIA" u="1"/>
        <s v="RUSBELL JAVIER ORTIZ MENDOZA" u="1"/>
        <e v="#N/A" u="1"/>
        <s v="CLAUDIO ANTONIO ZAVALA" u="1"/>
        <s v="JAIRO JOSE PEREZ CARRION" u="1"/>
        <s v="NOE CECILIO GONZALEZ RIVERA" u="1"/>
        <s v="MAURICIO JOSE BETANCURT LOPEZ" u="1"/>
        <s v="DANIEL ANTONIO ZAVALA MONTENEGRO" u="1"/>
        <s v="NELSON JOSUE MARTINEZ JUAREZ" u="1"/>
        <s v="MARLON ADRIAN BRIZUELA MARTINEZ" u="1"/>
        <s v="OSCAR FRANCISCO CARCAMO HERRERA         " u="1"/>
        <s v="ELIAS NICOLAS SOLIS MORALES" u="1"/>
        <s v="JOSE MANUEL MARTINEZ MEDINA" u="1"/>
        <s v="MEDARDO ANTONIO CRUZ MARTINEZ" u="1"/>
        <s v="MOISES ANTONIO BALTODANO PUPIRO" u="1"/>
        <s v="FELIX ANTONIO RIOS JIRON" u="1"/>
        <s v="MARTA YAMILETH MENESES ESPINOZA" u="1"/>
        <s v="GUSTAVO ADOLFO PICADO MONCADA" u="1"/>
        <s v="RAUL ENRIQUE MEJIA" u="1"/>
        <s v="ALVARO JOSE ACETUNO MEDINA" u="1"/>
        <s v="JUAN MIGUEL AVENDAÑO SANTANA" u="1"/>
        <s v="WILLIAMS ANDRES ESCOBAR MEDINA" u="1"/>
        <s v="PEDRO IGNACIO VANEGAS NUÑEZ" u="1"/>
        <s v="EVELING JOSE OVIEDO PANIAGUA" u="1"/>
        <s v="JULIO ALFREDO TORREZ MEDRANO" u="1"/>
        <s v="ALVARO JULIAN FRANCO RODRIGUEZ" u="1"/>
        <s v="DINA MIGDALIA REYES MEJIA" u="1"/>
        <s v="ROBERTO ENMANUEL PICADO MALTA" u="1"/>
        <s v="JOSE ANGEL GONZALEZ MARTINEZ" u="1"/>
        <s v="MARCO ANTONIO OCHOA ALVARADO" u="1"/>
        <s v="MATEO ARIEL SUAREZ GUTIERREZ" u="1"/>
        <s v="VIDAL ALEXANDER MARTINEZ REYES" u="1"/>
        <s v="VICTOR DAVID ACUÑA VALLE" u="1"/>
        <s v="RUDYS ADOLFO POVEDA LOPEZ" u="1"/>
        <s v="PEDRO PABLO SOMOZA PASTRANA" u="1"/>
        <s v="NOEL ANTONIO SANCHEZ MONTEALEGRE" u="1"/>
        <s v="JOSE FRANCISCO MONCADA GUIDO" u="1"/>
        <s v="JAIRO ABELINO TEJEDA MARTINEZ" u="1"/>
        <s v="JUAN JOSE ULLOA VIDEA" u="1"/>
        <s v="ESTEBAN SALAZAR BETANCO" u="1"/>
        <s v="SANTOS ISIDRO LOPEZ PEREZ" u="1"/>
        <s v="OSCAR EDUARDO GOMEZ HERNANDEZ" u="1"/>
        <s v="ENYEL FRANCISCO MEJIA MARTINEZ" u="1"/>
        <s v="ANDERSON BISMARCK MENDOZA RAMIREZ" u="1"/>
        <s v="REYNALDO DE JESUS ALVAREZ BOLAINEZ" u="1"/>
        <s v="AUGUSTO CESAR GOMEZ ZAPATA" u="1"/>
        <s v="CARLOS JOSE NAVAS CASTILLO" u="1"/>
        <s v="BRAYAN STANLEY BONILLA BOLAINEZ" u="1"/>
        <s v="JUAN JOSE SANTOS" u="1"/>
        <s v="ADRIAN CESAR LUNA MARTINEZ" u="1"/>
        <s v="JUAN HEBERTO FLORES CARCAMO" u="1"/>
        <s v="CARLOS DANILO CABALLERO NAVAS" u="1"/>
        <s v="CESAR ANTONIO CASTELLON TORRES" u="1"/>
        <s v="LUIS DE JESUS TORREZ TORREZ             " u="1"/>
        <s v="LUIS MANUEL HERRERA MONDRAGON           " u="1"/>
        <s v="NERY HERNANDEZ ROMERO" u="1"/>
        <s v="MAURICIO ISMAEL BALLADARES PALACIO" u="1"/>
        <s v="GENARO ANTONIO ÁLVAREZ        " u="1"/>
        <s v="YUISMAN FRANCISCO HERRERA LOPEZ" u="1"/>
        <s v="ALEJANDRO RAFAEL FAJARDO JIMENEZ" u="1"/>
        <s v="SANTOS MARTIN CHAVARRIA HERNANDEZ" u="1"/>
        <s v="BYRON HIGINIO SANCHEZ GONZALEZ" u="1"/>
        <s v="FRANCISCO JAVIER CABALLERO CASTILLO     " u="1"/>
        <s v="NORVIN ENRIQUE ALARCON FLORES" u="1"/>
        <s v="GERALD ALEXANDER SANCHEZ TORREZ" u="1"/>
        <s v="MELVIN JOSE CASTELLON GOMEZ" u="1"/>
        <s v="MILTON DE JESUS MIRANDA MONTOYA" u="1"/>
        <s v="LEONARDO MANUEL VIDEA" u="1"/>
        <s v="JOSE ANTONIO SERRANO GONZALEZ" u="1"/>
        <s v="MICHAELL JOSE NUÑEZ QUIROZ" u="1"/>
        <s v="DIONISIO EVENOR GARAY NÚÑEZ" u="1"/>
        <s v="GAVINO CRISANTO HERRERA FLORES" u="1"/>
        <s v="DANIEL ANTONIO RODRIGUEZ MENDOZA" u="1"/>
        <s v="LUIS ENRIQUE RAMIREZ REYES" u="1"/>
        <s v="NELSON JAVIER CATIN GONZALEZ" u="1"/>
        <s v="MAURICIO JOSE REYES" u="1"/>
        <s v="NESTOR ANTONIO CASTILLO" u="1"/>
        <s v="DOMINGO ANTONIO MENDEZ CALERO" u="1"/>
        <s v="LESTER EXEQUIEL HERRERA FLORES" u="1"/>
        <s v="JOSE ANTONIO VELAZQUEZ CHAMORRO" u="1"/>
        <s v="MABEL GUISSETH MUNGUIA RENTERIA" u="1"/>
        <s v="NORLAN RAMON AREAS CANO" u="1"/>
        <s v="ERLING ANTONIO DIAZ RIVERA" u="1"/>
        <s v="LESTER FILIMON GOMEZ MENDOZA" u="1"/>
        <s v="DARWIN EDUARDO DAVILA" u="1"/>
        <s v="FRANCISCO JAVIER ACETUNO" u="1"/>
        <s v="JASON MANUEL CRUZ ESPINALES" u="1"/>
        <s v="NOEL WILFREDO HENRIQUEZ AGUILAR" u="1"/>
        <s v="FELIPE ANTONIO IZQUIERDO GONZALEZ" u="1"/>
        <s v="JORGE ARIEL GARAY CALDERON" u="1"/>
        <s v="CLEIDY CAROLINA MARTINEZ BETANCOUR" u="1"/>
        <s v="WILLBERTH JOSE OSORIO MERCADO           " u="1"/>
        <s v="VALERIA JOSE CANO ROMERO" u="1"/>
        <s v="MIGUEL ANTONIO JUAREZ PINEDA" u="1"/>
      </sharedItems>
    </cacheField>
    <cacheField name="Posicion:" numFmtId="0">
      <sharedItems count="8">
        <s v="Auxiliar de Patio de Caña"/>
        <s v="Operador de Cabezal I"/>
        <s v="Operador de Maquinaria Pesada II"/>
        <s v="Operador de Maquinaria Pesada I"/>
        <s v="Operador de Maquinaria Pesada III"/>
        <s v="Ayudante II M"/>
        <s v="Operador  de Tractor III"/>
        <s v="" u="1"/>
      </sharedItems>
    </cacheField>
    <cacheField name="No." numFmtId="0">
      <sharedItems containsSemiMixedTypes="0" containsString="0" containsNumber="1" containsInteger="1" minValue="1" maxValue="425"/>
    </cacheField>
    <cacheField name="Fecha" numFmtId="0">
      <sharedItems containsString="0" containsBlank="1" containsNumber="1" containsInteger="1" minValue="43855" maxValue="43888"/>
    </cacheField>
    <cacheField name="Dia" numFmtId="0">
      <sharedItems/>
    </cacheField>
    <cacheField name="Ruta/Ubicación" numFmtId="0">
      <sharedItems containsBlank="1"/>
    </cacheField>
    <cacheField name="Desayuno C$ 25" numFmtId="0">
      <sharedItems containsNonDate="0" containsString="0" containsBlank="1"/>
    </cacheField>
    <cacheField name="Almuerzo C$ 35" numFmtId="0">
      <sharedItems containsString="0" containsBlank="1" containsNumber="1" containsInteger="1" minValue="35" maxValue="65"/>
    </cacheField>
    <cacheField name="Cena C$ 30" numFmtId="0">
      <sharedItems containsNonDate="0" containsString="0" containsBlank="1"/>
    </cacheField>
    <cacheField name="Transporte" numFmtId="0">
      <sharedItems containsString="0" containsBlank="1" containsNumber="1" containsInteger="1" minValue="120" maxValue="120"/>
    </cacheField>
    <cacheField name="Total C$" numFmtId="0">
      <sharedItems containsString="0" containsBlank="1" containsNumber="1" containsInteger="1" minValue="35" maxValue="120"/>
    </cacheField>
    <cacheField name="Campo1" numFmtId="0" formula="'Desayuno C$ 25'+'Almuerzo C$ 35'+'Cena C$ 30'" databaseField="0"/>
    <cacheField name="Campo2" numFmtId="0" formula="Campo1+Transpor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">
  <r>
    <x v="0"/>
    <x v="0"/>
    <x v="0"/>
    <n v="1"/>
    <n v="43855"/>
    <s v="SÁBADO"/>
    <s v="Malpaisillo"/>
    <m/>
    <n v="65"/>
    <m/>
    <m/>
    <n v="65"/>
  </r>
  <r>
    <x v="1"/>
    <x v="1"/>
    <x v="1"/>
    <n v="2"/>
    <n v="43855"/>
    <s v="SÁBADO"/>
    <s v="La India"/>
    <m/>
    <n v="35"/>
    <m/>
    <m/>
    <n v="35"/>
  </r>
  <r>
    <x v="2"/>
    <x v="2"/>
    <x v="1"/>
    <n v="3"/>
    <n v="43855"/>
    <s v="SÁBADO"/>
    <s v="Mocoron"/>
    <m/>
    <n v="65"/>
    <m/>
    <m/>
    <n v="65"/>
  </r>
  <r>
    <x v="3"/>
    <x v="3"/>
    <x v="1"/>
    <n v="4"/>
    <n v="43855"/>
    <s v="SÁBADO"/>
    <s v="La India"/>
    <m/>
    <n v="35"/>
    <m/>
    <m/>
    <n v="35"/>
  </r>
  <r>
    <x v="4"/>
    <x v="4"/>
    <x v="1"/>
    <n v="5"/>
    <n v="43855"/>
    <s v="SÁBADO"/>
    <s v="Trocha Nueva"/>
    <m/>
    <n v="35"/>
    <m/>
    <m/>
    <n v="35"/>
  </r>
  <r>
    <x v="5"/>
    <x v="5"/>
    <x v="1"/>
    <n v="6"/>
    <n v="43855"/>
    <s v="SÁBADO"/>
    <s v="Mocoron"/>
    <m/>
    <n v="65"/>
    <m/>
    <m/>
    <n v="65"/>
  </r>
  <r>
    <x v="6"/>
    <x v="6"/>
    <x v="2"/>
    <n v="7"/>
    <n v="43855"/>
    <s v="SÁBADO"/>
    <s v="Trocha Nueva"/>
    <m/>
    <n v="35"/>
    <m/>
    <m/>
    <n v="35"/>
  </r>
  <r>
    <x v="7"/>
    <x v="7"/>
    <x v="3"/>
    <n v="8"/>
    <n v="43855"/>
    <s v="SÁBADO"/>
    <s v="Trocha Nueva"/>
    <m/>
    <n v="35"/>
    <m/>
    <m/>
    <n v="35"/>
  </r>
  <r>
    <x v="8"/>
    <x v="8"/>
    <x v="2"/>
    <n v="9"/>
    <n v="43855"/>
    <s v="SÁBADO"/>
    <s v="Trocha Nueva"/>
    <m/>
    <n v="35"/>
    <m/>
    <m/>
    <n v="35"/>
  </r>
  <r>
    <x v="9"/>
    <x v="9"/>
    <x v="3"/>
    <n v="10"/>
    <n v="43855"/>
    <s v="SÁBADO"/>
    <s v="Trocha Nueva"/>
    <m/>
    <n v="35"/>
    <m/>
    <m/>
    <n v="35"/>
  </r>
  <r>
    <x v="10"/>
    <x v="10"/>
    <x v="3"/>
    <n v="11"/>
    <n v="43855"/>
    <s v="SÁBADO"/>
    <s v="Trocha Nueva"/>
    <m/>
    <n v="35"/>
    <m/>
    <m/>
    <n v="35"/>
  </r>
  <r>
    <x v="11"/>
    <x v="11"/>
    <x v="3"/>
    <n v="12"/>
    <n v="43855"/>
    <s v="SÁBADO"/>
    <s v="Malpaisillo"/>
    <m/>
    <n v="65"/>
    <m/>
    <m/>
    <n v="65"/>
  </r>
  <r>
    <x v="12"/>
    <x v="12"/>
    <x v="2"/>
    <n v="13"/>
    <n v="43855"/>
    <s v="SÁBADO"/>
    <s v="Santa Cecilia"/>
    <m/>
    <n v="35"/>
    <m/>
    <m/>
    <n v="35"/>
  </r>
  <r>
    <x v="13"/>
    <x v="13"/>
    <x v="4"/>
    <n v="14"/>
    <n v="43855"/>
    <s v="SÁBADO"/>
    <s v="Trocha Nueva"/>
    <m/>
    <n v="35"/>
    <m/>
    <m/>
    <n v="35"/>
  </r>
  <r>
    <x v="14"/>
    <x v="14"/>
    <x v="3"/>
    <n v="15"/>
    <n v="43855"/>
    <s v="SÁBADO"/>
    <s v="Trocha Nueva"/>
    <m/>
    <n v="35"/>
    <m/>
    <m/>
    <n v="35"/>
  </r>
  <r>
    <x v="15"/>
    <x v="15"/>
    <x v="4"/>
    <n v="16"/>
    <n v="43855"/>
    <s v="SÁBADO"/>
    <s v="Trocha Nueva"/>
    <m/>
    <n v="35"/>
    <m/>
    <m/>
    <n v="35"/>
  </r>
  <r>
    <x v="16"/>
    <x v="16"/>
    <x v="3"/>
    <n v="17"/>
    <n v="43855"/>
    <s v="SÁBADO"/>
    <s v="Trocha Nueva"/>
    <m/>
    <n v="35"/>
    <m/>
    <m/>
    <n v="35"/>
  </r>
  <r>
    <x v="6"/>
    <x v="6"/>
    <x v="2"/>
    <n v="18"/>
    <n v="43856"/>
    <s v="DOMINGO"/>
    <s v="Trocha Nueva"/>
    <m/>
    <n v="35"/>
    <m/>
    <m/>
    <n v="35"/>
  </r>
  <r>
    <x v="1"/>
    <x v="1"/>
    <x v="1"/>
    <n v="19"/>
    <n v="43856"/>
    <s v="DOMINGO"/>
    <s v="La Pistola"/>
    <m/>
    <n v="35"/>
    <m/>
    <m/>
    <n v="35"/>
  </r>
  <r>
    <x v="7"/>
    <x v="7"/>
    <x v="3"/>
    <n v="20"/>
    <n v="43856"/>
    <s v="DOMINGO"/>
    <s v="Villa 15 "/>
    <m/>
    <n v="35"/>
    <m/>
    <m/>
    <n v="35"/>
  </r>
  <r>
    <x v="8"/>
    <x v="8"/>
    <x v="2"/>
    <n v="21"/>
    <n v="43856"/>
    <s v="DOMINGO"/>
    <s v="Trocha Nueva"/>
    <m/>
    <n v="35"/>
    <m/>
    <m/>
    <n v="35"/>
  </r>
  <r>
    <x v="9"/>
    <x v="9"/>
    <x v="3"/>
    <n v="22"/>
    <n v="43856"/>
    <s v="DOMINGO"/>
    <s v="Trocha Nueva"/>
    <m/>
    <n v="35"/>
    <m/>
    <m/>
    <n v="35"/>
  </r>
  <r>
    <x v="10"/>
    <x v="10"/>
    <x v="3"/>
    <n v="23"/>
    <n v="43856"/>
    <s v="DOMINGO"/>
    <s v="Villa 15 "/>
    <m/>
    <n v="35"/>
    <m/>
    <m/>
    <n v="35"/>
  </r>
  <r>
    <x v="17"/>
    <x v="17"/>
    <x v="1"/>
    <n v="24"/>
    <n v="43856"/>
    <s v="DOMINGO"/>
    <s v="Trocha Nueva"/>
    <m/>
    <n v="35"/>
    <m/>
    <m/>
    <n v="35"/>
  </r>
  <r>
    <x v="11"/>
    <x v="11"/>
    <x v="3"/>
    <n v="25"/>
    <n v="43856"/>
    <s v="DOMINGO"/>
    <s v="Malpaisillo"/>
    <m/>
    <n v="65"/>
    <m/>
    <m/>
    <n v="65"/>
  </r>
  <r>
    <x v="14"/>
    <x v="14"/>
    <x v="3"/>
    <n v="26"/>
    <n v="43856"/>
    <s v="DOMINGO"/>
    <s v="Trocha Nueva"/>
    <m/>
    <n v="35"/>
    <m/>
    <m/>
    <n v="35"/>
  </r>
  <r>
    <x v="18"/>
    <x v="18"/>
    <x v="4"/>
    <n v="27"/>
    <n v="43856"/>
    <s v="DOMINGO"/>
    <s v="Trocha Nueva"/>
    <m/>
    <n v="35"/>
    <m/>
    <m/>
    <n v="35"/>
  </r>
  <r>
    <x v="19"/>
    <x v="19"/>
    <x v="2"/>
    <n v="28"/>
    <n v="43856"/>
    <s v="DOMINGO"/>
    <s v="Trocha Nueva"/>
    <m/>
    <n v="35"/>
    <m/>
    <m/>
    <n v="35"/>
  </r>
  <r>
    <x v="20"/>
    <x v="20"/>
    <x v="1"/>
    <n v="29"/>
    <n v="43856"/>
    <s v="DOMINGO"/>
    <s v="La Pistola"/>
    <m/>
    <n v="35"/>
    <m/>
    <m/>
    <n v="35"/>
  </r>
  <r>
    <x v="4"/>
    <x v="4"/>
    <x v="1"/>
    <n v="30"/>
    <n v="43856"/>
    <s v="DOMINGO"/>
    <s v="Trocha Nueva"/>
    <m/>
    <n v="35"/>
    <m/>
    <m/>
    <n v="35"/>
  </r>
  <r>
    <x v="16"/>
    <x v="16"/>
    <x v="3"/>
    <n v="31"/>
    <n v="43856"/>
    <s v="DOMINGO"/>
    <s v="Trocha Nueva"/>
    <m/>
    <n v="35"/>
    <m/>
    <m/>
    <n v="35"/>
  </r>
  <r>
    <x v="21"/>
    <x v="21"/>
    <x v="0"/>
    <n v="32"/>
    <n v="43857"/>
    <s v="LUNES"/>
    <s v="Santa Isabel"/>
    <m/>
    <n v="35"/>
    <m/>
    <m/>
    <n v="35"/>
  </r>
  <r>
    <x v="22"/>
    <x v="22"/>
    <x v="5"/>
    <n v="33"/>
    <n v="43857"/>
    <s v="LUNES"/>
    <s v="Malpaisillo"/>
    <m/>
    <n v="65"/>
    <m/>
    <m/>
    <n v="65"/>
  </r>
  <r>
    <x v="23"/>
    <x v="23"/>
    <x v="5"/>
    <n v="34"/>
    <n v="43857"/>
    <s v="LUNES"/>
    <s v="Trocha Nueva"/>
    <m/>
    <n v="35"/>
    <m/>
    <m/>
    <n v="35"/>
  </r>
  <r>
    <x v="24"/>
    <x v="24"/>
    <x v="5"/>
    <n v="35"/>
    <n v="43857"/>
    <s v="LUNES"/>
    <s v="San Jose de las Marias"/>
    <m/>
    <n v="35"/>
    <m/>
    <m/>
    <n v="35"/>
  </r>
  <r>
    <x v="25"/>
    <x v="25"/>
    <x v="1"/>
    <n v="36"/>
    <n v="43857"/>
    <s v="LUNES"/>
    <s v="Las Grietas"/>
    <m/>
    <n v="35"/>
    <m/>
    <m/>
    <n v="35"/>
  </r>
  <r>
    <x v="2"/>
    <x v="2"/>
    <x v="1"/>
    <n v="37"/>
    <n v="43857"/>
    <s v="LUNES"/>
    <s v="Las Grietas"/>
    <m/>
    <n v="35"/>
    <m/>
    <m/>
    <n v="35"/>
  </r>
  <r>
    <x v="17"/>
    <x v="17"/>
    <x v="1"/>
    <n v="38"/>
    <n v="43857"/>
    <s v="LUNES"/>
    <s v="Trocha Nueva"/>
    <m/>
    <n v="35"/>
    <m/>
    <m/>
    <n v="35"/>
  </r>
  <r>
    <x v="4"/>
    <x v="4"/>
    <x v="1"/>
    <n v="39"/>
    <n v="43857"/>
    <s v="LUNES"/>
    <s v="Trocha Nueva"/>
    <m/>
    <n v="35"/>
    <m/>
    <m/>
    <n v="35"/>
  </r>
  <r>
    <x v="26"/>
    <x v="26"/>
    <x v="1"/>
    <n v="40"/>
    <n v="43857"/>
    <s v="LUNES"/>
    <s v="CHAMPAS KIMBERLY"/>
    <m/>
    <n v="65"/>
    <m/>
    <m/>
    <n v="65"/>
  </r>
  <r>
    <x v="6"/>
    <x v="6"/>
    <x v="2"/>
    <n v="41"/>
    <n v="43857"/>
    <s v="LUNES"/>
    <s v="Trocha Nueva"/>
    <m/>
    <n v="35"/>
    <m/>
    <m/>
    <n v="35"/>
  </r>
  <r>
    <x v="27"/>
    <x v="27"/>
    <x v="3"/>
    <n v="42"/>
    <n v="43857"/>
    <s v="LUNES"/>
    <s v="Trocha Nueva"/>
    <m/>
    <n v="35"/>
    <m/>
    <m/>
    <n v="35"/>
  </r>
  <r>
    <x v="9"/>
    <x v="9"/>
    <x v="3"/>
    <n v="43"/>
    <n v="43857"/>
    <s v="LUNES"/>
    <s v="Trocha Nueva"/>
    <m/>
    <n v="35"/>
    <m/>
    <m/>
    <n v="35"/>
  </r>
  <r>
    <x v="10"/>
    <x v="10"/>
    <x v="3"/>
    <n v="44"/>
    <n v="43857"/>
    <s v="LUNES"/>
    <s v="Candelaria"/>
    <m/>
    <n v="35"/>
    <m/>
    <m/>
    <n v="35"/>
  </r>
  <r>
    <x v="16"/>
    <x v="16"/>
    <x v="3"/>
    <n v="45"/>
    <n v="43857"/>
    <s v="LUNES"/>
    <s v="Trocha Nueva"/>
    <m/>
    <n v="35"/>
    <m/>
    <m/>
    <n v="35"/>
  </r>
  <r>
    <x v="12"/>
    <x v="12"/>
    <x v="2"/>
    <n v="46"/>
    <n v="43857"/>
    <s v="LUNES"/>
    <s v="San Jose de las Marias"/>
    <m/>
    <n v="35"/>
    <m/>
    <m/>
    <n v="35"/>
  </r>
  <r>
    <x v="18"/>
    <x v="18"/>
    <x v="4"/>
    <n v="47"/>
    <n v="43857"/>
    <s v="LUNES"/>
    <s v="Trocha Nueva"/>
    <m/>
    <n v="35"/>
    <m/>
    <m/>
    <n v="35"/>
  </r>
  <r>
    <x v="19"/>
    <x v="19"/>
    <x v="2"/>
    <n v="48"/>
    <n v="43857"/>
    <s v="LUNES"/>
    <s v="Trocha Nueva"/>
    <m/>
    <n v="35"/>
    <m/>
    <m/>
    <n v="35"/>
  </r>
  <r>
    <x v="21"/>
    <x v="21"/>
    <x v="0"/>
    <n v="49"/>
    <n v="43858"/>
    <s v="MARTES"/>
    <s v="Santa Isabel"/>
    <m/>
    <n v="35"/>
    <m/>
    <m/>
    <n v="35"/>
  </r>
  <r>
    <x v="0"/>
    <x v="0"/>
    <x v="0"/>
    <n v="50"/>
    <n v="43858"/>
    <s v="MARTES"/>
    <s v="Las Grietas"/>
    <m/>
    <n v="35"/>
    <m/>
    <m/>
    <n v="35"/>
  </r>
  <r>
    <x v="22"/>
    <x v="22"/>
    <x v="5"/>
    <n v="51"/>
    <n v="43858"/>
    <s v="MARTES"/>
    <s v="Las Grietas"/>
    <m/>
    <n v="35"/>
    <m/>
    <m/>
    <n v="35"/>
  </r>
  <r>
    <x v="24"/>
    <x v="24"/>
    <x v="5"/>
    <n v="52"/>
    <n v="43858"/>
    <s v="MARTES"/>
    <s v="Trocha Nueva"/>
    <m/>
    <n v="35"/>
    <m/>
    <m/>
    <n v="35"/>
  </r>
  <r>
    <x v="17"/>
    <x v="17"/>
    <x v="1"/>
    <n v="53"/>
    <n v="43858"/>
    <s v="MARTES"/>
    <s v="Trocha Nueva"/>
    <m/>
    <n v="35"/>
    <m/>
    <m/>
    <n v="35"/>
  </r>
  <r>
    <x v="6"/>
    <x v="6"/>
    <x v="2"/>
    <n v="54"/>
    <n v="43858"/>
    <s v="MARTES"/>
    <s v="Trocha Nueva"/>
    <m/>
    <n v="35"/>
    <m/>
    <m/>
    <n v="35"/>
  </r>
  <r>
    <x v="27"/>
    <x v="27"/>
    <x v="3"/>
    <n v="55"/>
    <n v="43858"/>
    <s v="MARTES"/>
    <s v="Trocha Nueva"/>
    <m/>
    <n v="35"/>
    <m/>
    <m/>
    <n v="35"/>
  </r>
  <r>
    <x v="9"/>
    <x v="9"/>
    <x v="3"/>
    <n v="56"/>
    <n v="43858"/>
    <s v="MARTES"/>
    <s v="Trocha Nueva"/>
    <m/>
    <n v="35"/>
    <m/>
    <m/>
    <n v="35"/>
  </r>
  <r>
    <x v="12"/>
    <x v="12"/>
    <x v="2"/>
    <n v="57"/>
    <n v="43858"/>
    <s v="MARTES"/>
    <s v="Las Grietas"/>
    <m/>
    <n v="35"/>
    <m/>
    <m/>
    <n v="35"/>
  </r>
  <r>
    <x v="13"/>
    <x v="13"/>
    <x v="4"/>
    <n v="58"/>
    <n v="43858"/>
    <s v="MARTES"/>
    <s v="Trocha Nueva"/>
    <m/>
    <n v="35"/>
    <m/>
    <m/>
    <n v="35"/>
  </r>
  <r>
    <x v="18"/>
    <x v="18"/>
    <x v="4"/>
    <n v="59"/>
    <n v="43858"/>
    <s v="MARTES"/>
    <s v="Trocha Nueva"/>
    <m/>
    <n v="35"/>
    <m/>
    <m/>
    <n v="35"/>
  </r>
  <r>
    <x v="19"/>
    <x v="19"/>
    <x v="2"/>
    <n v="60"/>
    <n v="43858"/>
    <s v="MARTES"/>
    <s v="Trocha Nueva"/>
    <m/>
    <n v="35"/>
    <m/>
    <m/>
    <n v="35"/>
  </r>
  <r>
    <x v="15"/>
    <x v="15"/>
    <x v="4"/>
    <n v="61"/>
    <n v="43858"/>
    <s v="MARTES"/>
    <s v="Trocha Nueva"/>
    <m/>
    <n v="35"/>
    <m/>
    <m/>
    <n v="35"/>
  </r>
  <r>
    <x v="23"/>
    <x v="23"/>
    <x v="5"/>
    <n v="62"/>
    <n v="43858"/>
    <s v="MARTES"/>
    <s v="Trocha Nueva"/>
    <m/>
    <n v="35"/>
    <m/>
    <m/>
    <n v="35"/>
  </r>
  <r>
    <x v="21"/>
    <x v="21"/>
    <x v="0"/>
    <n v="63"/>
    <n v="43859"/>
    <s v="MIÉRCOLES"/>
    <s v="Santa Isabel"/>
    <m/>
    <n v="35"/>
    <m/>
    <m/>
    <n v="35"/>
  </r>
  <r>
    <x v="0"/>
    <x v="0"/>
    <x v="0"/>
    <n v="64"/>
    <n v="43859"/>
    <s v="MIÉRCOLES"/>
    <s v="Malpaisillo"/>
    <m/>
    <n v="65"/>
    <m/>
    <m/>
    <n v="65"/>
  </r>
  <r>
    <x v="28"/>
    <x v="28"/>
    <x v="5"/>
    <n v="65"/>
    <n v="43859"/>
    <s v="MIÉRCOLES"/>
    <s v="Malpaisillo"/>
    <m/>
    <n v="65"/>
    <m/>
    <m/>
    <n v="65"/>
  </r>
  <r>
    <x v="25"/>
    <x v="25"/>
    <x v="1"/>
    <n v="66"/>
    <n v="43859"/>
    <s v="MIÉRCOLES"/>
    <s v="Malpaisillo"/>
    <m/>
    <n v="65"/>
    <m/>
    <m/>
    <n v="65"/>
  </r>
  <r>
    <x v="1"/>
    <x v="1"/>
    <x v="1"/>
    <n v="67"/>
    <n v="43859"/>
    <s v="MIÉRCOLES"/>
    <s v="Malpaisillo"/>
    <m/>
    <n v="65"/>
    <m/>
    <m/>
    <n v="65"/>
  </r>
  <r>
    <x v="17"/>
    <x v="17"/>
    <x v="1"/>
    <n v="68"/>
    <n v="43859"/>
    <s v="MIÉRCOLES"/>
    <s v="Trocha Nueva"/>
    <m/>
    <n v="35"/>
    <m/>
    <m/>
    <n v="35"/>
  </r>
  <r>
    <x v="20"/>
    <x v="20"/>
    <x v="1"/>
    <n v="69"/>
    <n v="43859"/>
    <s v="MIÉRCOLES"/>
    <s v="Malpaisillo"/>
    <m/>
    <n v="65"/>
    <m/>
    <m/>
    <n v="65"/>
  </r>
  <r>
    <x v="27"/>
    <x v="27"/>
    <x v="3"/>
    <n v="70"/>
    <n v="43859"/>
    <s v="MIÉRCOLES"/>
    <s v="Trocha Nueva"/>
    <m/>
    <n v="35"/>
    <m/>
    <m/>
    <n v="35"/>
  </r>
  <r>
    <x v="8"/>
    <x v="8"/>
    <x v="2"/>
    <n v="71"/>
    <n v="43859"/>
    <s v="MIÉRCOLES"/>
    <s v="Trocha Nueva"/>
    <m/>
    <n v="35"/>
    <m/>
    <m/>
    <n v="35"/>
  </r>
  <r>
    <x v="29"/>
    <x v="29"/>
    <x v="3"/>
    <n v="72"/>
    <n v="43859"/>
    <s v="MIÉRCOLES"/>
    <s v="Cristina del Obraje"/>
    <m/>
    <n v="35"/>
    <m/>
    <m/>
    <n v="35"/>
  </r>
  <r>
    <x v="30"/>
    <x v="30"/>
    <x v="4"/>
    <n v="73"/>
    <n v="43859"/>
    <s v="MIÉRCOLES"/>
    <s v="Carlota"/>
    <m/>
    <n v="35"/>
    <m/>
    <m/>
    <n v="35"/>
  </r>
  <r>
    <x v="13"/>
    <x v="13"/>
    <x v="4"/>
    <n v="74"/>
    <n v="43859"/>
    <s v="MIÉRCOLES"/>
    <s v="Trocha Nueva"/>
    <m/>
    <n v="35"/>
    <m/>
    <m/>
    <n v="35"/>
  </r>
  <r>
    <x v="14"/>
    <x v="14"/>
    <x v="3"/>
    <n v="75"/>
    <n v="43859"/>
    <s v="MIÉRCOLES"/>
    <s v="Trocha Nueva"/>
    <m/>
    <n v="35"/>
    <m/>
    <m/>
    <n v="35"/>
  </r>
  <r>
    <x v="18"/>
    <x v="18"/>
    <x v="4"/>
    <n v="76"/>
    <n v="43859"/>
    <s v="MIÉRCOLES"/>
    <s v="Trocha Nueva"/>
    <m/>
    <n v="35"/>
    <m/>
    <m/>
    <n v="35"/>
  </r>
  <r>
    <x v="31"/>
    <x v="31"/>
    <x v="2"/>
    <n v="77"/>
    <n v="43859"/>
    <s v="MIÉRCOLES"/>
    <s v="Trocha Nueva"/>
    <m/>
    <n v="35"/>
    <m/>
    <m/>
    <n v="35"/>
  </r>
  <r>
    <x v="19"/>
    <x v="19"/>
    <x v="2"/>
    <n v="78"/>
    <n v="43859"/>
    <s v="MIÉRCOLES"/>
    <s v="Trocha Nueva"/>
    <m/>
    <n v="35"/>
    <m/>
    <m/>
    <n v="35"/>
  </r>
  <r>
    <x v="32"/>
    <x v="32"/>
    <x v="2"/>
    <n v="79"/>
    <n v="43859"/>
    <s v="MIÉRCOLES"/>
    <s v="Malpaisillo"/>
    <m/>
    <n v="65"/>
    <m/>
    <m/>
    <n v="65"/>
  </r>
  <r>
    <x v="15"/>
    <x v="15"/>
    <x v="4"/>
    <n v="80"/>
    <n v="43859"/>
    <s v="MIÉRCOLES"/>
    <s v="Trocha Nueva"/>
    <m/>
    <n v="35"/>
    <m/>
    <m/>
    <n v="35"/>
  </r>
  <r>
    <x v="23"/>
    <x v="23"/>
    <x v="5"/>
    <n v="81"/>
    <n v="43859"/>
    <s v="MIÉRCOLES"/>
    <s v="Trocha Nueva"/>
    <m/>
    <n v="35"/>
    <m/>
    <m/>
    <n v="35"/>
  </r>
  <r>
    <x v="21"/>
    <x v="21"/>
    <x v="0"/>
    <n v="82"/>
    <n v="43860"/>
    <s v="JUEVES"/>
    <s v="Santa Isabel"/>
    <m/>
    <n v="35"/>
    <m/>
    <m/>
    <n v="35"/>
  </r>
  <r>
    <x v="0"/>
    <x v="0"/>
    <x v="0"/>
    <n v="83"/>
    <n v="43860"/>
    <s v="JUEVES"/>
    <s v="Malpaisillo"/>
    <m/>
    <n v="65"/>
    <m/>
    <m/>
    <n v="65"/>
  </r>
  <r>
    <x v="28"/>
    <x v="28"/>
    <x v="5"/>
    <n v="84"/>
    <n v="43860"/>
    <s v="JUEVES"/>
    <s v="Malpaisillo"/>
    <m/>
    <n v="65"/>
    <m/>
    <m/>
    <n v="65"/>
  </r>
  <r>
    <x v="1"/>
    <x v="1"/>
    <x v="1"/>
    <n v="85"/>
    <n v="43860"/>
    <s v="JUEVES"/>
    <s v="Malpaisillo"/>
    <m/>
    <n v="65"/>
    <m/>
    <m/>
    <n v="65"/>
  </r>
  <r>
    <x v="33"/>
    <x v="33"/>
    <x v="1"/>
    <n v="86"/>
    <n v="43860"/>
    <s v="JUEVES"/>
    <s v="Malpaisillo"/>
    <m/>
    <n v="65"/>
    <m/>
    <m/>
    <n v="65"/>
  </r>
  <r>
    <x v="4"/>
    <x v="4"/>
    <x v="1"/>
    <n v="87"/>
    <n v="43860"/>
    <s v="JUEVES"/>
    <s v="Trocha Nueva"/>
    <m/>
    <n v="35"/>
    <m/>
    <m/>
    <n v="35"/>
  </r>
  <r>
    <x v="20"/>
    <x v="20"/>
    <x v="1"/>
    <n v="88"/>
    <n v="43860"/>
    <s v="JUEVES"/>
    <s v="Las Grietas"/>
    <m/>
    <n v="35"/>
    <m/>
    <m/>
    <n v="35"/>
  </r>
  <r>
    <x v="27"/>
    <x v="27"/>
    <x v="3"/>
    <n v="89"/>
    <n v="43860"/>
    <s v="JUEVES"/>
    <s v="Trocha Nueva"/>
    <m/>
    <n v="35"/>
    <m/>
    <m/>
    <n v="35"/>
  </r>
  <r>
    <x v="8"/>
    <x v="8"/>
    <x v="2"/>
    <n v="90"/>
    <n v="43860"/>
    <s v="JUEVES"/>
    <s v="Trocha Nueva"/>
    <m/>
    <n v="35"/>
    <m/>
    <m/>
    <n v="35"/>
  </r>
  <r>
    <x v="30"/>
    <x v="30"/>
    <x v="4"/>
    <n v="91"/>
    <n v="43860"/>
    <s v="JUEVES"/>
    <s v="Las Grietas"/>
    <m/>
    <n v="35"/>
    <m/>
    <m/>
    <n v="35"/>
  </r>
  <r>
    <x v="13"/>
    <x v="13"/>
    <x v="4"/>
    <n v="92"/>
    <n v="43860"/>
    <s v="JUEVES"/>
    <s v="Trocha Nueva"/>
    <m/>
    <n v="35"/>
    <m/>
    <m/>
    <n v="35"/>
  </r>
  <r>
    <x v="18"/>
    <x v="18"/>
    <x v="4"/>
    <n v="93"/>
    <n v="43860"/>
    <s v="JUEVES"/>
    <s v="Trocha Nueva"/>
    <m/>
    <n v="35"/>
    <m/>
    <m/>
    <n v="35"/>
  </r>
  <r>
    <x v="31"/>
    <x v="31"/>
    <x v="2"/>
    <n v="94"/>
    <n v="43860"/>
    <s v="JUEVES"/>
    <s v="Malpaisillo"/>
    <m/>
    <n v="65"/>
    <m/>
    <m/>
    <n v="65"/>
  </r>
  <r>
    <x v="19"/>
    <x v="19"/>
    <x v="2"/>
    <n v="95"/>
    <n v="43860"/>
    <s v="JUEVES"/>
    <s v="Trocha Nueva"/>
    <m/>
    <n v="35"/>
    <m/>
    <m/>
    <n v="35"/>
  </r>
  <r>
    <x v="32"/>
    <x v="32"/>
    <x v="2"/>
    <n v="96"/>
    <n v="43860"/>
    <s v="JUEVES"/>
    <s v="Olocoton"/>
    <m/>
    <n v="65"/>
    <m/>
    <m/>
    <n v="65"/>
  </r>
  <r>
    <x v="15"/>
    <x v="15"/>
    <x v="4"/>
    <n v="97"/>
    <n v="43860"/>
    <s v="JUEVES"/>
    <s v="Trocha Nueva"/>
    <m/>
    <n v="35"/>
    <m/>
    <m/>
    <n v="35"/>
  </r>
  <r>
    <x v="16"/>
    <x v="16"/>
    <x v="3"/>
    <n v="98"/>
    <n v="43860"/>
    <s v="JUEVES"/>
    <s v="Trocha Nueva"/>
    <m/>
    <n v="35"/>
    <m/>
    <m/>
    <n v="35"/>
  </r>
  <r>
    <x v="23"/>
    <x v="23"/>
    <x v="5"/>
    <n v="99"/>
    <n v="43860"/>
    <s v="JUEVES"/>
    <s v="Trocha Nueva"/>
    <m/>
    <n v="35"/>
    <m/>
    <m/>
    <n v="35"/>
  </r>
  <r>
    <x v="21"/>
    <x v="21"/>
    <x v="0"/>
    <n v="100"/>
    <n v="43861"/>
    <s v="VIERNES"/>
    <s v="Santa Isabel"/>
    <m/>
    <n v="35"/>
    <m/>
    <m/>
    <n v="35"/>
  </r>
  <r>
    <x v="0"/>
    <x v="0"/>
    <x v="0"/>
    <n v="101"/>
    <n v="43861"/>
    <s v="VIERNES"/>
    <s v="Puente de Oro"/>
    <m/>
    <n v="35"/>
    <m/>
    <m/>
    <n v="35"/>
  </r>
  <r>
    <x v="22"/>
    <x v="22"/>
    <x v="5"/>
    <n v="102"/>
    <n v="43861"/>
    <s v="VIERNES"/>
    <s v="Las Grietas"/>
    <m/>
    <n v="35"/>
    <m/>
    <m/>
    <n v="35"/>
  </r>
  <r>
    <x v="28"/>
    <x v="28"/>
    <x v="5"/>
    <n v="103"/>
    <n v="43861"/>
    <s v="VIERNES"/>
    <s v="Olocoton"/>
    <m/>
    <n v="65"/>
    <m/>
    <m/>
    <n v="65"/>
  </r>
  <r>
    <x v="24"/>
    <x v="24"/>
    <x v="5"/>
    <n v="104"/>
    <n v="43861"/>
    <s v="VIERNES"/>
    <s v="Trocha Nueva"/>
    <m/>
    <n v="35"/>
    <m/>
    <m/>
    <n v="35"/>
  </r>
  <r>
    <x v="1"/>
    <x v="1"/>
    <x v="1"/>
    <n v="105"/>
    <n v="43861"/>
    <s v="VIERNES"/>
    <s v="Malpaisillo"/>
    <m/>
    <n v="65"/>
    <m/>
    <m/>
    <n v="65"/>
  </r>
  <r>
    <x v="34"/>
    <x v="34"/>
    <x v="1"/>
    <n v="106"/>
    <n v="43861"/>
    <s v="VIERNES"/>
    <s v="Cristina del Obraje"/>
    <m/>
    <n v="35"/>
    <m/>
    <m/>
    <n v="35"/>
  </r>
  <r>
    <x v="3"/>
    <x v="3"/>
    <x v="1"/>
    <n v="107"/>
    <n v="43861"/>
    <s v="VIERNES"/>
    <s v="Malpaisillo"/>
    <m/>
    <n v="65"/>
    <m/>
    <m/>
    <n v="65"/>
  </r>
  <r>
    <x v="26"/>
    <x v="26"/>
    <x v="1"/>
    <n v="108"/>
    <n v="43861"/>
    <s v="VIERNES"/>
    <s v="Malpaisillo"/>
    <m/>
    <n v="65"/>
    <m/>
    <m/>
    <n v="65"/>
  </r>
  <r>
    <x v="20"/>
    <x v="20"/>
    <x v="1"/>
    <n v="109"/>
    <n v="43861"/>
    <s v="VIERNES"/>
    <s v="Malpaisillo"/>
    <m/>
    <n v="65"/>
    <m/>
    <m/>
    <n v="65"/>
  </r>
  <r>
    <x v="6"/>
    <x v="6"/>
    <x v="2"/>
    <n v="110"/>
    <n v="43861"/>
    <s v="VIERNES"/>
    <s v="Trocha Nueva"/>
    <m/>
    <n v="35"/>
    <m/>
    <m/>
    <n v="35"/>
  </r>
  <r>
    <x v="27"/>
    <x v="27"/>
    <x v="3"/>
    <n v="111"/>
    <n v="43861"/>
    <s v="VIERNES"/>
    <s v="Trocha Nueva"/>
    <m/>
    <n v="35"/>
    <m/>
    <m/>
    <n v="35"/>
  </r>
  <r>
    <x v="8"/>
    <x v="8"/>
    <x v="2"/>
    <n v="112"/>
    <n v="43861"/>
    <s v="VIERNES"/>
    <s v="Trocha Nueva"/>
    <m/>
    <n v="35"/>
    <m/>
    <m/>
    <n v="35"/>
  </r>
  <r>
    <x v="9"/>
    <x v="9"/>
    <x v="3"/>
    <n v="113"/>
    <n v="43861"/>
    <s v="VIERNES"/>
    <s v="Trocha Nueva"/>
    <m/>
    <n v="35"/>
    <m/>
    <m/>
    <n v="35"/>
  </r>
  <r>
    <x v="10"/>
    <x v="10"/>
    <x v="3"/>
    <n v="114"/>
    <n v="43861"/>
    <s v="VIERNES"/>
    <s v="Villa 15 "/>
    <m/>
    <n v="35"/>
    <m/>
    <m/>
    <n v="35"/>
  </r>
  <r>
    <x v="30"/>
    <x v="30"/>
    <x v="4"/>
    <n v="115"/>
    <n v="43861"/>
    <s v="VIERNES"/>
    <s v="Trocha Nueva"/>
    <m/>
    <n v="35"/>
    <m/>
    <m/>
    <n v="35"/>
  </r>
  <r>
    <x v="13"/>
    <x v="13"/>
    <x v="4"/>
    <n v="116"/>
    <n v="43861"/>
    <s v="VIERNES"/>
    <s v="Trocha Nueva"/>
    <m/>
    <n v="35"/>
    <m/>
    <m/>
    <n v="35"/>
  </r>
  <r>
    <x v="32"/>
    <x v="32"/>
    <x v="2"/>
    <n v="117"/>
    <n v="43861"/>
    <s v="VIERNES"/>
    <s v="Olocoton"/>
    <m/>
    <n v="65"/>
    <m/>
    <m/>
    <n v="65"/>
  </r>
  <r>
    <x v="4"/>
    <x v="4"/>
    <x v="1"/>
    <n v="118"/>
    <n v="43861"/>
    <s v="VIERNES"/>
    <s v="Trocha Nueva"/>
    <m/>
    <n v="35"/>
    <m/>
    <m/>
    <n v="35"/>
  </r>
  <r>
    <x v="15"/>
    <x v="15"/>
    <x v="4"/>
    <n v="119"/>
    <n v="43861"/>
    <s v="VIERNES"/>
    <s v="Trocha Nueva"/>
    <m/>
    <n v="35"/>
    <m/>
    <m/>
    <n v="35"/>
  </r>
  <r>
    <x v="16"/>
    <x v="16"/>
    <x v="3"/>
    <n v="120"/>
    <n v="43861"/>
    <s v="VIERNES"/>
    <s v="Trocha Nueva"/>
    <m/>
    <n v="35"/>
    <m/>
    <m/>
    <n v="35"/>
  </r>
  <r>
    <x v="23"/>
    <x v="23"/>
    <x v="5"/>
    <n v="121"/>
    <n v="43861"/>
    <s v="VIERNES"/>
    <s v="Trocha Nueva"/>
    <m/>
    <n v="35"/>
    <m/>
    <m/>
    <n v="35"/>
  </r>
  <r>
    <x v="35"/>
    <x v="35"/>
    <x v="2"/>
    <n v="122"/>
    <n v="43861"/>
    <s v="VIERNES"/>
    <s v="Trocha Nueva"/>
    <m/>
    <n v="35"/>
    <m/>
    <m/>
    <n v="35"/>
  </r>
  <r>
    <x v="0"/>
    <x v="0"/>
    <x v="0"/>
    <n v="123"/>
    <n v="43862"/>
    <s v="SÁBADO"/>
    <s v="Las Grietas"/>
    <m/>
    <n v="35"/>
    <m/>
    <m/>
    <n v="35"/>
  </r>
  <r>
    <x v="28"/>
    <x v="28"/>
    <x v="5"/>
    <n v="124"/>
    <n v="43862"/>
    <s v="SÁBADO"/>
    <s v="Las Grietas"/>
    <m/>
    <n v="35"/>
    <m/>
    <m/>
    <n v="35"/>
  </r>
  <r>
    <x v="36"/>
    <x v="36"/>
    <x v="1"/>
    <n v="125"/>
    <n v="43862"/>
    <s v="SÁBADO"/>
    <s v="Santa Cecilia"/>
    <m/>
    <n v="35"/>
    <m/>
    <m/>
    <n v="35"/>
  </r>
  <r>
    <x v="1"/>
    <x v="1"/>
    <x v="1"/>
    <n v="126"/>
    <n v="43862"/>
    <s v="SÁBADO"/>
    <s v="Los Planes"/>
    <m/>
    <n v="65"/>
    <m/>
    <m/>
    <n v="65"/>
  </r>
  <r>
    <x v="3"/>
    <x v="3"/>
    <x v="1"/>
    <n v="127"/>
    <n v="43862"/>
    <s v="SÁBADO"/>
    <s v="Los Planes"/>
    <m/>
    <n v="65"/>
    <m/>
    <m/>
    <n v="65"/>
  </r>
  <r>
    <x v="37"/>
    <x v="37"/>
    <x v="1"/>
    <n v="128"/>
    <n v="43862"/>
    <s v="SÁBADO"/>
    <s v="Las Grietas"/>
    <m/>
    <n v="35"/>
    <m/>
    <m/>
    <n v="35"/>
  </r>
  <r>
    <x v="6"/>
    <x v="6"/>
    <x v="2"/>
    <n v="129"/>
    <n v="43862"/>
    <s v="SÁBADO"/>
    <s v="Trocha Nueva"/>
    <m/>
    <n v="35"/>
    <m/>
    <m/>
    <n v="35"/>
  </r>
  <r>
    <x v="8"/>
    <x v="8"/>
    <x v="2"/>
    <n v="130"/>
    <n v="43862"/>
    <s v="SÁBADO"/>
    <s v="Trocha Nueva"/>
    <m/>
    <n v="35"/>
    <m/>
    <m/>
    <n v="35"/>
  </r>
  <r>
    <x v="9"/>
    <x v="9"/>
    <x v="3"/>
    <n v="131"/>
    <n v="43862"/>
    <s v="SÁBADO"/>
    <s v="Trocha Nueva"/>
    <m/>
    <n v="35"/>
    <m/>
    <m/>
    <n v="35"/>
  </r>
  <r>
    <x v="30"/>
    <x v="30"/>
    <x v="4"/>
    <n v="132"/>
    <n v="43862"/>
    <s v="SÁBADO"/>
    <s v="Las Grietas"/>
    <m/>
    <n v="35"/>
    <m/>
    <m/>
    <n v="35"/>
  </r>
  <r>
    <x v="12"/>
    <x v="12"/>
    <x v="2"/>
    <n v="133"/>
    <n v="43862"/>
    <s v="SÁBADO"/>
    <s v="Los Planes"/>
    <m/>
    <n v="65"/>
    <m/>
    <m/>
    <n v="65"/>
  </r>
  <r>
    <x v="13"/>
    <x v="13"/>
    <x v="4"/>
    <n v="134"/>
    <n v="43862"/>
    <s v="SÁBADO"/>
    <s v="Trocha Nueva"/>
    <m/>
    <n v="35"/>
    <m/>
    <m/>
    <n v="35"/>
  </r>
  <r>
    <x v="14"/>
    <x v="14"/>
    <x v="3"/>
    <n v="135"/>
    <n v="43862"/>
    <s v="SÁBADO"/>
    <s v="Trocha Nueva"/>
    <m/>
    <n v="35"/>
    <m/>
    <m/>
    <n v="35"/>
  </r>
  <r>
    <x v="38"/>
    <x v="38"/>
    <x v="1"/>
    <n v="136"/>
    <n v="43862"/>
    <s v="SÁBADO"/>
    <s v="Las Grietas"/>
    <m/>
    <n v="35"/>
    <m/>
    <m/>
    <n v="35"/>
  </r>
  <r>
    <x v="15"/>
    <x v="15"/>
    <x v="4"/>
    <n v="137"/>
    <n v="43862"/>
    <s v="SÁBADO"/>
    <s v="Trocha Nueva"/>
    <m/>
    <n v="35"/>
    <m/>
    <m/>
    <n v="35"/>
  </r>
  <r>
    <x v="16"/>
    <x v="16"/>
    <x v="3"/>
    <n v="138"/>
    <n v="43862"/>
    <s v="SÁBADO"/>
    <s v="Trocha Nueva"/>
    <m/>
    <n v="35"/>
    <m/>
    <m/>
    <n v="35"/>
  </r>
  <r>
    <x v="36"/>
    <x v="36"/>
    <x v="1"/>
    <n v="139"/>
    <n v="43863"/>
    <s v="DOMINGO"/>
    <s v="Las Grietas"/>
    <m/>
    <n v="35"/>
    <m/>
    <m/>
    <n v="35"/>
  </r>
  <r>
    <x v="6"/>
    <x v="6"/>
    <x v="2"/>
    <n v="140"/>
    <n v="43863"/>
    <s v="DOMINGO"/>
    <s v="Trocha Nueva"/>
    <m/>
    <n v="35"/>
    <m/>
    <m/>
    <n v="35"/>
  </r>
  <r>
    <x v="7"/>
    <x v="7"/>
    <x v="3"/>
    <n v="141"/>
    <n v="43863"/>
    <s v="DOMINGO"/>
    <s v="Las Grietas"/>
    <m/>
    <n v="35"/>
    <m/>
    <m/>
    <n v="35"/>
  </r>
  <r>
    <x v="1"/>
    <x v="1"/>
    <x v="1"/>
    <n v="142"/>
    <n v="43863"/>
    <s v="DOMINGO"/>
    <s v="San Jose de las Marias"/>
    <m/>
    <n v="35"/>
    <m/>
    <m/>
    <n v="35"/>
  </r>
  <r>
    <x v="8"/>
    <x v="8"/>
    <x v="2"/>
    <n v="143"/>
    <n v="43863"/>
    <s v="DOMINGO"/>
    <s v="Trocha Nueva"/>
    <m/>
    <n v="35"/>
    <m/>
    <m/>
    <n v="35"/>
  </r>
  <r>
    <x v="9"/>
    <x v="9"/>
    <x v="3"/>
    <n v="144"/>
    <n v="43863"/>
    <s v="DOMINGO"/>
    <s v="Trocha Nueva"/>
    <m/>
    <n v="35"/>
    <m/>
    <m/>
    <n v="35"/>
  </r>
  <r>
    <x v="12"/>
    <x v="12"/>
    <x v="2"/>
    <n v="145"/>
    <n v="43863"/>
    <s v="DOMINGO"/>
    <s v="Santa Celia"/>
    <m/>
    <n v="35"/>
    <m/>
    <m/>
    <n v="35"/>
  </r>
  <r>
    <x v="14"/>
    <x v="14"/>
    <x v="3"/>
    <n v="146"/>
    <n v="43863"/>
    <s v="DOMINGO"/>
    <s v="Trocha Nueva"/>
    <m/>
    <n v="35"/>
    <m/>
    <m/>
    <n v="35"/>
  </r>
  <r>
    <x v="18"/>
    <x v="18"/>
    <x v="4"/>
    <n v="147"/>
    <n v="43863"/>
    <s v="DOMINGO"/>
    <s v="Trocha Nueva"/>
    <m/>
    <n v="35"/>
    <m/>
    <m/>
    <n v="35"/>
  </r>
  <r>
    <x v="19"/>
    <x v="19"/>
    <x v="2"/>
    <n v="148"/>
    <n v="43863"/>
    <s v="DOMINGO"/>
    <s v="Las Grietas"/>
    <m/>
    <n v="35"/>
    <m/>
    <m/>
    <n v="35"/>
  </r>
  <r>
    <x v="20"/>
    <x v="20"/>
    <x v="1"/>
    <n v="149"/>
    <n v="43863"/>
    <s v="DOMINGO"/>
    <s v="San Jose de las Marias"/>
    <m/>
    <n v="35"/>
    <m/>
    <m/>
    <n v="35"/>
  </r>
  <r>
    <x v="4"/>
    <x v="4"/>
    <x v="1"/>
    <n v="150"/>
    <n v="43863"/>
    <s v="DOMINGO"/>
    <s v="Trocha Nueva"/>
    <m/>
    <n v="35"/>
    <m/>
    <m/>
    <n v="35"/>
  </r>
  <r>
    <x v="16"/>
    <x v="16"/>
    <x v="3"/>
    <n v="151"/>
    <n v="43863"/>
    <s v="DOMINGO"/>
    <s v="Trocha Nueva"/>
    <m/>
    <n v="35"/>
    <m/>
    <m/>
    <n v="35"/>
  </r>
  <r>
    <x v="35"/>
    <x v="35"/>
    <x v="2"/>
    <n v="152"/>
    <n v="43863"/>
    <s v="DOMINGO"/>
    <s v="Trocha Nueva"/>
    <m/>
    <n v="35"/>
    <m/>
    <m/>
    <n v="35"/>
  </r>
  <r>
    <x v="39"/>
    <x v="39"/>
    <x v="1"/>
    <n v="153"/>
    <n v="43863"/>
    <s v="DOMINGO"/>
    <s v="Trocha Nueva"/>
    <m/>
    <n v="35"/>
    <m/>
    <m/>
    <n v="35"/>
  </r>
  <r>
    <x v="21"/>
    <x v="21"/>
    <x v="0"/>
    <n v="154"/>
    <n v="43864"/>
    <s v="LUNES"/>
    <s v="Santa Isabel"/>
    <m/>
    <n v="35"/>
    <m/>
    <m/>
    <n v="35"/>
  </r>
  <r>
    <x v="23"/>
    <x v="23"/>
    <x v="5"/>
    <n v="155"/>
    <n v="43864"/>
    <s v="LUNES"/>
    <s v="Trocha Nueva"/>
    <m/>
    <n v="35"/>
    <m/>
    <m/>
    <n v="35"/>
  </r>
  <r>
    <x v="24"/>
    <x v="24"/>
    <x v="5"/>
    <n v="156"/>
    <n v="43864"/>
    <s v="LUNES"/>
    <s v="Trocha Nueva"/>
    <m/>
    <n v="35"/>
    <m/>
    <m/>
    <n v="35"/>
  </r>
  <r>
    <x v="36"/>
    <x v="36"/>
    <x v="1"/>
    <n v="157"/>
    <n v="43864"/>
    <s v="LUNES"/>
    <s v="Los Planes"/>
    <m/>
    <n v="65"/>
    <m/>
    <m/>
    <n v="65"/>
  </r>
  <r>
    <x v="25"/>
    <x v="25"/>
    <x v="1"/>
    <n v="158"/>
    <n v="43864"/>
    <s v="LUNES"/>
    <s v="San Jose de las Marias"/>
    <m/>
    <n v="35"/>
    <m/>
    <m/>
    <n v="35"/>
  </r>
  <r>
    <x v="2"/>
    <x v="2"/>
    <x v="1"/>
    <n v="159"/>
    <n v="43864"/>
    <s v="LUNES"/>
    <s v="San Jose de las Marias"/>
    <m/>
    <n v="35"/>
    <m/>
    <m/>
    <n v="35"/>
  </r>
  <r>
    <x v="4"/>
    <x v="4"/>
    <x v="1"/>
    <n v="160"/>
    <n v="43864"/>
    <s v="LUNES"/>
    <s v="Trocha Nueva"/>
    <m/>
    <n v="35"/>
    <m/>
    <m/>
    <n v="35"/>
  </r>
  <r>
    <x v="6"/>
    <x v="6"/>
    <x v="2"/>
    <n v="161"/>
    <n v="43864"/>
    <s v="LUNES"/>
    <s v="Trocha Nueva"/>
    <m/>
    <n v="35"/>
    <m/>
    <m/>
    <n v="35"/>
  </r>
  <r>
    <x v="27"/>
    <x v="27"/>
    <x v="3"/>
    <n v="162"/>
    <n v="43864"/>
    <s v="LUNES"/>
    <s v="Trocha Nueva"/>
    <m/>
    <n v="35"/>
    <m/>
    <m/>
    <n v="35"/>
  </r>
  <r>
    <x v="7"/>
    <x v="7"/>
    <x v="3"/>
    <n v="163"/>
    <n v="43864"/>
    <s v="LUNES"/>
    <s v="Trocha Nueva"/>
    <m/>
    <n v="35"/>
    <m/>
    <m/>
    <n v="35"/>
  </r>
  <r>
    <x v="9"/>
    <x v="9"/>
    <x v="3"/>
    <n v="164"/>
    <n v="43864"/>
    <s v="LUNES"/>
    <s v="Trocha Nueva"/>
    <m/>
    <n v="35"/>
    <m/>
    <m/>
    <n v="35"/>
  </r>
  <r>
    <x v="16"/>
    <x v="16"/>
    <x v="3"/>
    <n v="165"/>
    <n v="43864"/>
    <s v="LUNES"/>
    <s v="Trocha Nueva"/>
    <m/>
    <n v="35"/>
    <m/>
    <m/>
    <n v="35"/>
  </r>
  <r>
    <x v="12"/>
    <x v="12"/>
    <x v="2"/>
    <n v="166"/>
    <n v="43864"/>
    <s v="LUNES"/>
    <s v="San Jose de las Marias"/>
    <m/>
    <n v="35"/>
    <m/>
    <m/>
    <n v="35"/>
  </r>
  <r>
    <x v="18"/>
    <x v="18"/>
    <x v="4"/>
    <n v="167"/>
    <n v="43864"/>
    <s v="LUNES"/>
    <s v="Trocha Nueva"/>
    <m/>
    <n v="35"/>
    <m/>
    <m/>
    <n v="35"/>
  </r>
  <r>
    <x v="19"/>
    <x v="19"/>
    <x v="2"/>
    <n v="168"/>
    <n v="43864"/>
    <s v="LUNES"/>
    <s v="Trocha Nueva"/>
    <m/>
    <n v="35"/>
    <m/>
    <m/>
    <n v="35"/>
  </r>
  <r>
    <x v="35"/>
    <x v="35"/>
    <x v="2"/>
    <n v="169"/>
    <n v="43864"/>
    <s v="LUNES"/>
    <s v="Trocha Nueva"/>
    <m/>
    <n v="35"/>
    <m/>
    <m/>
    <n v="35"/>
  </r>
  <r>
    <x v="39"/>
    <x v="39"/>
    <x v="1"/>
    <n v="170"/>
    <n v="43864"/>
    <s v="LUNES"/>
    <s v="Trocha Nueva"/>
    <m/>
    <n v="35"/>
    <m/>
    <m/>
    <n v="35"/>
  </r>
  <r>
    <x v="21"/>
    <x v="21"/>
    <x v="0"/>
    <n v="171"/>
    <n v="43865"/>
    <s v="MARTES"/>
    <s v="Santa Isabel"/>
    <m/>
    <n v="35"/>
    <m/>
    <m/>
    <n v="35"/>
  </r>
  <r>
    <x v="0"/>
    <x v="0"/>
    <x v="0"/>
    <n v="172"/>
    <n v="43865"/>
    <s v="MARTES"/>
    <s v="Rancho Pando"/>
    <m/>
    <n v="35"/>
    <m/>
    <m/>
    <n v="35"/>
  </r>
  <r>
    <x v="22"/>
    <x v="22"/>
    <x v="5"/>
    <n v="173"/>
    <n v="43865"/>
    <s v="MARTES"/>
    <s v="Rancho Pando"/>
    <m/>
    <n v="35"/>
    <m/>
    <m/>
    <n v="35"/>
  </r>
  <r>
    <x v="24"/>
    <x v="24"/>
    <x v="5"/>
    <n v="174"/>
    <n v="43865"/>
    <s v="MARTES"/>
    <s v="Trocha Nueva"/>
    <m/>
    <n v="35"/>
    <m/>
    <m/>
    <n v="35"/>
  </r>
  <r>
    <x v="25"/>
    <x v="25"/>
    <x v="1"/>
    <n v="175"/>
    <n v="43865"/>
    <s v="MARTES"/>
    <s v="Los Planes"/>
    <m/>
    <n v="65"/>
    <m/>
    <m/>
    <n v="65"/>
  </r>
  <r>
    <x v="34"/>
    <x v="34"/>
    <x v="1"/>
    <n v="176"/>
    <n v="43865"/>
    <s v="MARTES"/>
    <s v="Rancho Pando"/>
    <m/>
    <n v="35"/>
    <m/>
    <m/>
    <n v="35"/>
  </r>
  <r>
    <x v="2"/>
    <x v="2"/>
    <x v="1"/>
    <n v="177"/>
    <n v="43865"/>
    <s v="MARTES"/>
    <s v="Los Planes"/>
    <m/>
    <n v="65"/>
    <m/>
    <m/>
    <n v="65"/>
  </r>
  <r>
    <x v="3"/>
    <x v="3"/>
    <x v="1"/>
    <n v="178"/>
    <n v="43865"/>
    <s v="MARTES"/>
    <s v="Los Planes"/>
    <m/>
    <n v="65"/>
    <m/>
    <m/>
    <n v="65"/>
  </r>
  <r>
    <x v="40"/>
    <x v="40"/>
    <x v="1"/>
    <n v="179"/>
    <n v="43865"/>
    <s v="MARTES"/>
    <s v="Cristina del Obraje"/>
    <m/>
    <n v="35"/>
    <m/>
    <m/>
    <n v="35"/>
  </r>
  <r>
    <x v="26"/>
    <x v="26"/>
    <x v="1"/>
    <n v="180"/>
    <n v="43865"/>
    <s v="MARTES"/>
    <s v="Los Planes"/>
    <m/>
    <n v="65"/>
    <m/>
    <m/>
    <n v="65"/>
  </r>
  <r>
    <x v="41"/>
    <x v="41"/>
    <x v="1"/>
    <n v="181"/>
    <n v="43865"/>
    <s v="MARTES"/>
    <s v="Trocha Nueva"/>
    <m/>
    <n v="35"/>
    <m/>
    <m/>
    <n v="35"/>
  </r>
  <r>
    <x v="38"/>
    <x v="38"/>
    <x v="1"/>
    <n v="182"/>
    <n v="43865"/>
    <s v="MARTES"/>
    <s v="Trocha Nueva"/>
    <m/>
    <n v="35"/>
    <m/>
    <m/>
    <n v="35"/>
  </r>
  <r>
    <x v="27"/>
    <x v="27"/>
    <x v="3"/>
    <n v="183"/>
    <n v="43865"/>
    <s v="MARTES"/>
    <s v="Trocha Nueva"/>
    <m/>
    <n v="35"/>
    <m/>
    <m/>
    <n v="35"/>
  </r>
  <r>
    <x v="9"/>
    <x v="9"/>
    <x v="3"/>
    <n v="184"/>
    <n v="43865"/>
    <s v="MARTES"/>
    <s v="Trocha Nueva"/>
    <m/>
    <n v="35"/>
    <m/>
    <m/>
    <n v="35"/>
  </r>
  <r>
    <x v="29"/>
    <x v="29"/>
    <x v="3"/>
    <n v="185"/>
    <n v="43865"/>
    <s v="MARTES"/>
    <s v="Santa Anita"/>
    <m/>
    <n v="65"/>
    <m/>
    <m/>
    <n v="65"/>
  </r>
  <r>
    <x v="42"/>
    <x v="42"/>
    <x v="3"/>
    <n v="186"/>
    <n v="43865"/>
    <s v="MARTES"/>
    <s v="Trocha Nueva"/>
    <m/>
    <n v="35"/>
    <m/>
    <m/>
    <n v="35"/>
  </r>
  <r>
    <x v="30"/>
    <x v="30"/>
    <x v="4"/>
    <n v="187"/>
    <n v="43865"/>
    <s v="MARTES"/>
    <s v="Rancho Pando"/>
    <m/>
    <n v="35"/>
    <m/>
    <m/>
    <n v="35"/>
  </r>
  <r>
    <x v="12"/>
    <x v="12"/>
    <x v="2"/>
    <n v="188"/>
    <n v="43865"/>
    <s v="MARTES"/>
    <s v="Las Grietas"/>
    <m/>
    <n v="35"/>
    <m/>
    <m/>
    <n v="35"/>
  </r>
  <r>
    <x v="18"/>
    <x v="18"/>
    <x v="4"/>
    <n v="189"/>
    <n v="43865"/>
    <s v="MARTES"/>
    <s v="Trocha Nueva"/>
    <m/>
    <n v="35"/>
    <m/>
    <m/>
    <n v="35"/>
  </r>
  <r>
    <x v="19"/>
    <x v="19"/>
    <x v="2"/>
    <n v="190"/>
    <n v="43865"/>
    <s v="MARTES"/>
    <s v="Trocha Nueva"/>
    <m/>
    <n v="35"/>
    <m/>
    <m/>
    <n v="35"/>
  </r>
  <r>
    <x v="15"/>
    <x v="15"/>
    <x v="4"/>
    <n v="191"/>
    <n v="43865"/>
    <s v="MARTES"/>
    <s v="Trocha Nueva"/>
    <m/>
    <n v="35"/>
    <m/>
    <m/>
    <n v="35"/>
  </r>
  <r>
    <x v="23"/>
    <x v="23"/>
    <x v="5"/>
    <n v="192"/>
    <n v="43865"/>
    <s v="MARTES"/>
    <s v="Trocha Nueva"/>
    <m/>
    <n v="35"/>
    <m/>
    <m/>
    <n v="35"/>
  </r>
  <r>
    <x v="35"/>
    <x v="35"/>
    <x v="2"/>
    <n v="193"/>
    <n v="43865"/>
    <s v="MARTES"/>
    <s v="Trocha Nueva"/>
    <m/>
    <n v="35"/>
    <m/>
    <m/>
    <n v="35"/>
  </r>
  <r>
    <x v="39"/>
    <x v="39"/>
    <x v="1"/>
    <n v="194"/>
    <n v="43865"/>
    <s v="MARTES"/>
    <s v="Trocha Nueva"/>
    <m/>
    <n v="35"/>
    <m/>
    <m/>
    <n v="35"/>
  </r>
  <r>
    <x v="21"/>
    <x v="21"/>
    <x v="0"/>
    <n v="195"/>
    <n v="43866"/>
    <s v="MIÉRCOLES"/>
    <s v="Santa Isabel"/>
    <m/>
    <n v="35"/>
    <m/>
    <m/>
    <n v="35"/>
  </r>
  <r>
    <x v="0"/>
    <x v="0"/>
    <x v="0"/>
    <n v="196"/>
    <n v="43866"/>
    <s v="MIÉRCOLES"/>
    <s v="Santa luisa"/>
    <m/>
    <n v="35"/>
    <m/>
    <m/>
    <n v="35"/>
  </r>
  <r>
    <x v="28"/>
    <x v="28"/>
    <x v="5"/>
    <n v="197"/>
    <n v="43866"/>
    <s v="MIÉRCOLES"/>
    <s v="Santa luisa"/>
    <m/>
    <n v="35"/>
    <m/>
    <m/>
    <n v="35"/>
  </r>
  <r>
    <x v="1"/>
    <x v="1"/>
    <x v="1"/>
    <n v="198"/>
    <n v="43866"/>
    <s v="MIÉRCOLES"/>
    <s v="Olocoton"/>
    <m/>
    <n v="65"/>
    <m/>
    <m/>
    <n v="65"/>
  </r>
  <r>
    <x v="34"/>
    <x v="34"/>
    <x v="1"/>
    <n v="199"/>
    <n v="43866"/>
    <s v="MIÉRCOLES"/>
    <s v="Santa luisa"/>
    <m/>
    <n v="35"/>
    <m/>
    <m/>
    <n v="35"/>
  </r>
  <r>
    <x v="2"/>
    <x v="2"/>
    <x v="1"/>
    <n v="200"/>
    <n v="43866"/>
    <s v="MIÉRCOLES"/>
    <s v="Olocoton"/>
    <m/>
    <n v="65"/>
    <m/>
    <m/>
    <n v="65"/>
  </r>
  <r>
    <x v="41"/>
    <x v="41"/>
    <x v="1"/>
    <n v="201"/>
    <n v="43866"/>
    <s v="MIÉRCOLES"/>
    <s v="Trocha Nueva"/>
    <m/>
    <n v="35"/>
    <m/>
    <m/>
    <n v="35"/>
  </r>
  <r>
    <x v="17"/>
    <x v="17"/>
    <x v="1"/>
    <n v="202"/>
    <n v="43866"/>
    <s v="MIÉRCOLES"/>
    <s v="Trocha Nueva"/>
    <m/>
    <n v="35"/>
    <m/>
    <m/>
    <n v="35"/>
  </r>
  <r>
    <x v="40"/>
    <x v="40"/>
    <x v="1"/>
    <n v="203"/>
    <n v="43866"/>
    <s v="MIÉRCOLES"/>
    <s v="Carlota"/>
    <m/>
    <n v="35"/>
    <m/>
    <m/>
    <n v="35"/>
  </r>
  <r>
    <x v="27"/>
    <x v="27"/>
    <x v="3"/>
    <n v="204"/>
    <n v="43866"/>
    <s v="MIÉRCOLES"/>
    <s v="Trocha Nueva"/>
    <m/>
    <n v="35"/>
    <m/>
    <m/>
    <n v="35"/>
  </r>
  <r>
    <x v="8"/>
    <x v="8"/>
    <x v="2"/>
    <n v="205"/>
    <n v="43866"/>
    <s v="MIÉRCOLES"/>
    <s v="Trocha Nueva"/>
    <m/>
    <n v="35"/>
    <m/>
    <m/>
    <n v="35"/>
  </r>
  <r>
    <x v="42"/>
    <x v="42"/>
    <x v="3"/>
    <n v="206"/>
    <n v="43866"/>
    <s v="MIÉRCOLES"/>
    <s v="Trocha Nueva"/>
    <m/>
    <n v="35"/>
    <m/>
    <m/>
    <n v="35"/>
  </r>
  <r>
    <x v="30"/>
    <x v="30"/>
    <x v="4"/>
    <n v="207"/>
    <n v="43866"/>
    <s v="MIÉRCOLES"/>
    <s v="Santa luisa"/>
    <m/>
    <n v="35"/>
    <m/>
    <m/>
    <n v="35"/>
  </r>
  <r>
    <x v="14"/>
    <x v="14"/>
    <x v="3"/>
    <n v="208"/>
    <n v="43866"/>
    <s v="MIÉRCOLES"/>
    <s v="Trocha Nueva"/>
    <m/>
    <n v="35"/>
    <m/>
    <m/>
    <n v="35"/>
  </r>
  <r>
    <x v="18"/>
    <x v="18"/>
    <x v="4"/>
    <n v="209"/>
    <n v="43866"/>
    <s v="MIÉRCOLES"/>
    <s v="Trocha Nueva"/>
    <m/>
    <n v="35"/>
    <m/>
    <m/>
    <n v="35"/>
  </r>
  <r>
    <x v="19"/>
    <x v="19"/>
    <x v="2"/>
    <n v="210"/>
    <n v="43866"/>
    <s v="MIÉRCOLES"/>
    <s v="Trocha Nueva"/>
    <m/>
    <n v="35"/>
    <m/>
    <m/>
    <n v="35"/>
  </r>
  <r>
    <x v="38"/>
    <x v="38"/>
    <x v="1"/>
    <n v="211"/>
    <n v="43866"/>
    <s v="MIÉRCOLES"/>
    <s v="Santa Celia"/>
    <m/>
    <n v="35"/>
    <m/>
    <m/>
    <n v="35"/>
  </r>
  <r>
    <x v="15"/>
    <x v="15"/>
    <x v="4"/>
    <n v="212"/>
    <n v="43866"/>
    <s v="MIÉRCOLES"/>
    <s v="Trocha Nueva"/>
    <m/>
    <n v="35"/>
    <m/>
    <m/>
    <n v="35"/>
  </r>
  <r>
    <x v="23"/>
    <x v="23"/>
    <x v="5"/>
    <n v="213"/>
    <n v="43866"/>
    <s v="MIÉRCOLES"/>
    <s v="Trocha Nueva"/>
    <m/>
    <n v="35"/>
    <m/>
    <m/>
    <n v="35"/>
  </r>
  <r>
    <x v="35"/>
    <x v="35"/>
    <x v="2"/>
    <n v="214"/>
    <n v="43866"/>
    <s v="MIÉRCOLES"/>
    <s v="Trocha Nueva"/>
    <m/>
    <n v="35"/>
    <m/>
    <m/>
    <n v="35"/>
  </r>
  <r>
    <x v="43"/>
    <x v="43"/>
    <x v="1"/>
    <n v="215"/>
    <n v="43866"/>
    <s v="MIÉRCOLES"/>
    <s v="Trocha Nueva"/>
    <m/>
    <n v="35"/>
    <m/>
    <m/>
    <n v="35"/>
  </r>
  <r>
    <x v="21"/>
    <x v="21"/>
    <x v="0"/>
    <n v="216"/>
    <n v="43867"/>
    <s v="JUEVES"/>
    <s v="Santa Isabel"/>
    <m/>
    <n v="35"/>
    <m/>
    <m/>
    <n v="35"/>
  </r>
  <r>
    <x v="0"/>
    <x v="0"/>
    <x v="0"/>
    <n v="217"/>
    <n v="43867"/>
    <s v="JUEVES"/>
    <s v="Santa luisa"/>
    <m/>
    <n v="35"/>
    <m/>
    <m/>
    <n v="35"/>
  </r>
  <r>
    <x v="34"/>
    <x v="34"/>
    <x v="1"/>
    <n v="218"/>
    <n v="43867"/>
    <s v="JUEVES"/>
    <s v="Santa luisa"/>
    <m/>
    <n v="35"/>
    <m/>
    <m/>
    <n v="35"/>
  </r>
  <r>
    <x v="40"/>
    <x v="40"/>
    <x v="1"/>
    <n v="219"/>
    <n v="43867"/>
    <s v="JUEVES"/>
    <s v="Mocoron"/>
    <m/>
    <n v="65"/>
    <m/>
    <m/>
    <n v="65"/>
  </r>
  <r>
    <x v="4"/>
    <x v="4"/>
    <x v="1"/>
    <n v="220"/>
    <n v="43867"/>
    <s v="JUEVES"/>
    <s v="Trocha Nueva"/>
    <m/>
    <n v="35"/>
    <m/>
    <m/>
    <n v="35"/>
  </r>
  <r>
    <x v="27"/>
    <x v="27"/>
    <x v="3"/>
    <n v="221"/>
    <n v="43867"/>
    <s v="JUEVES"/>
    <s v="Trocha Nueva"/>
    <m/>
    <n v="35"/>
    <m/>
    <m/>
    <n v="35"/>
  </r>
  <r>
    <x v="8"/>
    <x v="8"/>
    <x v="2"/>
    <n v="222"/>
    <n v="43867"/>
    <s v="JUEVES"/>
    <s v="Trocha Nueva"/>
    <m/>
    <n v="35"/>
    <m/>
    <m/>
    <n v="35"/>
  </r>
  <r>
    <x v="10"/>
    <x v="10"/>
    <x v="3"/>
    <n v="223"/>
    <n v="43867"/>
    <s v="JUEVES"/>
    <s v="Carlota"/>
    <m/>
    <n v="35"/>
    <m/>
    <m/>
    <n v="35"/>
  </r>
  <r>
    <x v="30"/>
    <x v="30"/>
    <x v="4"/>
    <n v="224"/>
    <n v="43867"/>
    <s v="JUEVES"/>
    <s v="Santa luisa"/>
    <m/>
    <n v="35"/>
    <m/>
    <m/>
    <n v="35"/>
  </r>
  <r>
    <x v="18"/>
    <x v="18"/>
    <x v="4"/>
    <n v="225"/>
    <n v="43867"/>
    <s v="JUEVES"/>
    <s v="Trocha Nueva"/>
    <m/>
    <n v="35"/>
    <m/>
    <m/>
    <n v="35"/>
  </r>
  <r>
    <x v="19"/>
    <x v="19"/>
    <x v="2"/>
    <n v="226"/>
    <n v="43867"/>
    <s v="JUEVES"/>
    <s v="Trocha Nueva"/>
    <m/>
    <n v="35"/>
    <m/>
    <m/>
    <n v="35"/>
  </r>
  <r>
    <x v="15"/>
    <x v="15"/>
    <x v="4"/>
    <n v="227"/>
    <n v="43867"/>
    <s v="JUEVES"/>
    <s v="Trocha Nueva"/>
    <m/>
    <n v="35"/>
    <m/>
    <m/>
    <n v="35"/>
  </r>
  <r>
    <x v="16"/>
    <x v="16"/>
    <x v="3"/>
    <n v="228"/>
    <n v="43867"/>
    <s v="JUEVES"/>
    <s v="Trocha Nueva"/>
    <m/>
    <n v="35"/>
    <m/>
    <m/>
    <n v="35"/>
  </r>
  <r>
    <x v="23"/>
    <x v="23"/>
    <x v="5"/>
    <n v="229"/>
    <n v="43867"/>
    <s v="JUEVES"/>
    <s v="Trocha Nueva"/>
    <m/>
    <n v="35"/>
    <m/>
    <m/>
    <n v="35"/>
  </r>
  <r>
    <x v="35"/>
    <x v="35"/>
    <x v="2"/>
    <n v="230"/>
    <n v="43867"/>
    <s v="JUEVES"/>
    <s v="Trocha Nueva"/>
    <m/>
    <n v="35"/>
    <m/>
    <m/>
    <n v="35"/>
  </r>
  <r>
    <x v="43"/>
    <x v="43"/>
    <x v="1"/>
    <n v="231"/>
    <n v="43867"/>
    <s v="JUEVES"/>
    <s v="Trocha Nueva"/>
    <m/>
    <n v="35"/>
    <m/>
    <m/>
    <n v="35"/>
  </r>
  <r>
    <x v="21"/>
    <x v="21"/>
    <x v="0"/>
    <n v="232"/>
    <n v="43868"/>
    <s v="VIERNES"/>
    <s v="Santa Isabel"/>
    <m/>
    <n v="35"/>
    <m/>
    <m/>
    <n v="35"/>
  </r>
  <r>
    <x v="0"/>
    <x v="0"/>
    <x v="0"/>
    <n v="233"/>
    <n v="43868"/>
    <s v="VIERNES"/>
    <s v="La Pistola"/>
    <m/>
    <n v="35"/>
    <m/>
    <m/>
    <n v="35"/>
  </r>
  <r>
    <x v="22"/>
    <x v="22"/>
    <x v="5"/>
    <n v="234"/>
    <n v="43868"/>
    <s v="VIERNES"/>
    <s v="La Pistola"/>
    <m/>
    <n v="35"/>
    <m/>
    <m/>
    <n v="35"/>
  </r>
  <r>
    <x v="24"/>
    <x v="24"/>
    <x v="5"/>
    <n v="235"/>
    <n v="43868"/>
    <s v="VIERNES"/>
    <s v="Trocha Nueva"/>
    <m/>
    <n v="35"/>
    <m/>
    <m/>
    <n v="35"/>
  </r>
  <r>
    <x v="34"/>
    <x v="34"/>
    <x v="1"/>
    <n v="236"/>
    <n v="43868"/>
    <s v="VIERNES"/>
    <s v="Mocoron"/>
    <m/>
    <n v="65"/>
    <m/>
    <m/>
    <n v="65"/>
  </r>
  <r>
    <x v="40"/>
    <x v="40"/>
    <x v="1"/>
    <n v="237"/>
    <n v="43868"/>
    <s v="VIERNES"/>
    <s v="Cristina del Obraje"/>
    <m/>
    <n v="35"/>
    <m/>
    <m/>
    <n v="35"/>
  </r>
  <r>
    <x v="6"/>
    <x v="6"/>
    <x v="2"/>
    <n v="238"/>
    <n v="43868"/>
    <s v="VIERNES"/>
    <s v="Trocha Nueva"/>
    <m/>
    <n v="35"/>
    <m/>
    <m/>
    <n v="35"/>
  </r>
  <r>
    <x v="27"/>
    <x v="27"/>
    <x v="3"/>
    <n v="239"/>
    <n v="43868"/>
    <s v="VIERNES"/>
    <s v="Trocha Nueva"/>
    <m/>
    <n v="35"/>
    <m/>
    <m/>
    <n v="35"/>
  </r>
  <r>
    <x v="8"/>
    <x v="8"/>
    <x v="2"/>
    <n v="240"/>
    <n v="43868"/>
    <s v="VIERNES"/>
    <s v="Trocha Nueva"/>
    <m/>
    <n v="35"/>
    <m/>
    <m/>
    <n v="35"/>
  </r>
  <r>
    <x v="9"/>
    <x v="9"/>
    <x v="3"/>
    <n v="241"/>
    <n v="43868"/>
    <s v="VIERNES"/>
    <s v="Trocha Nueva"/>
    <m/>
    <n v="35"/>
    <m/>
    <m/>
    <n v="35"/>
  </r>
  <r>
    <x v="30"/>
    <x v="30"/>
    <x v="4"/>
    <n v="242"/>
    <n v="43868"/>
    <s v="VIERNES"/>
    <s v="La Pistola"/>
    <m/>
    <n v="35"/>
    <m/>
    <m/>
    <n v="35"/>
  </r>
  <r>
    <x v="13"/>
    <x v="13"/>
    <x v="4"/>
    <n v="243"/>
    <n v="43868"/>
    <s v="VIERNES"/>
    <s v="Trocha Nueva"/>
    <m/>
    <n v="35"/>
    <m/>
    <m/>
    <n v="35"/>
  </r>
  <r>
    <x v="4"/>
    <x v="4"/>
    <x v="1"/>
    <n v="244"/>
    <n v="43868"/>
    <s v="VIERNES"/>
    <s v="Trocha Nueva"/>
    <m/>
    <n v="35"/>
    <m/>
    <m/>
    <n v="35"/>
  </r>
  <r>
    <x v="15"/>
    <x v="15"/>
    <x v="4"/>
    <n v="245"/>
    <n v="43868"/>
    <s v="VIERNES"/>
    <s v="Trocha Nueva"/>
    <m/>
    <n v="35"/>
    <m/>
    <m/>
    <n v="35"/>
  </r>
  <r>
    <x v="16"/>
    <x v="16"/>
    <x v="3"/>
    <n v="246"/>
    <n v="43868"/>
    <s v="VIERNES"/>
    <s v="Trocha Nueva"/>
    <m/>
    <n v="35"/>
    <m/>
    <m/>
    <n v="35"/>
  </r>
  <r>
    <x v="23"/>
    <x v="23"/>
    <x v="5"/>
    <n v="247"/>
    <n v="43868"/>
    <s v="VIERNES"/>
    <s v="Trocha Nueva"/>
    <m/>
    <n v="35"/>
    <m/>
    <m/>
    <n v="35"/>
  </r>
  <r>
    <x v="20"/>
    <x v="20"/>
    <x v="1"/>
    <n v="248"/>
    <n v="43855"/>
    <s v="SÁBADO"/>
    <s v="Malpaisillo"/>
    <m/>
    <m/>
    <m/>
    <n v="120"/>
    <n v="120"/>
  </r>
  <r>
    <x v="20"/>
    <x v="20"/>
    <x v="1"/>
    <n v="249"/>
    <n v="43856"/>
    <s v="DOMINGO"/>
    <s v="Malpaisillo"/>
    <m/>
    <m/>
    <m/>
    <n v="120"/>
    <n v="120"/>
  </r>
  <r>
    <x v="20"/>
    <x v="20"/>
    <x v="1"/>
    <n v="250"/>
    <n v="43859"/>
    <s v="MIÉRCOLES"/>
    <s v="Malpaisillo"/>
    <m/>
    <m/>
    <m/>
    <n v="120"/>
    <n v="120"/>
  </r>
  <r>
    <x v="20"/>
    <x v="20"/>
    <x v="1"/>
    <n v="251"/>
    <n v="43860"/>
    <s v="JUEVES"/>
    <s v="Malpaisillo"/>
    <m/>
    <m/>
    <m/>
    <n v="120"/>
    <n v="120"/>
  </r>
  <r>
    <x v="20"/>
    <x v="20"/>
    <x v="1"/>
    <n v="252"/>
    <n v="43861"/>
    <s v="VIERNES"/>
    <s v="Malpaisillo"/>
    <m/>
    <m/>
    <m/>
    <n v="120"/>
    <n v="120"/>
  </r>
  <r>
    <x v="20"/>
    <x v="20"/>
    <x v="1"/>
    <n v="253"/>
    <n v="43862"/>
    <s v="SÁBADO"/>
    <s v="Malpaisillo"/>
    <m/>
    <m/>
    <m/>
    <n v="120"/>
    <n v="120"/>
  </r>
  <r>
    <x v="20"/>
    <x v="20"/>
    <x v="1"/>
    <n v="254"/>
    <n v="43863"/>
    <s v="DOMINGO"/>
    <s v="Malpaisillo"/>
    <m/>
    <m/>
    <m/>
    <n v="120"/>
    <n v="120"/>
  </r>
  <r>
    <x v="20"/>
    <x v="20"/>
    <x v="1"/>
    <n v="255"/>
    <n v="43866"/>
    <s v="MIÉRCOLES"/>
    <s v="Malpaisillo"/>
    <m/>
    <m/>
    <m/>
    <n v="120"/>
    <n v="120"/>
  </r>
  <r>
    <x v="1"/>
    <x v="1"/>
    <x v="1"/>
    <n v="256"/>
    <n v="43855"/>
    <s v="SÁBADO"/>
    <s v="Malpaisillo"/>
    <m/>
    <m/>
    <m/>
    <n v="120"/>
    <n v="120"/>
  </r>
  <r>
    <x v="1"/>
    <x v="1"/>
    <x v="1"/>
    <n v="257"/>
    <n v="43856"/>
    <s v="DOMINGO"/>
    <s v="Malpaisillo"/>
    <m/>
    <m/>
    <m/>
    <n v="120"/>
    <n v="120"/>
  </r>
  <r>
    <x v="1"/>
    <x v="1"/>
    <x v="1"/>
    <n v="258"/>
    <n v="43859"/>
    <s v="MIÉRCOLES"/>
    <s v="Malpaisillo"/>
    <m/>
    <m/>
    <m/>
    <n v="120"/>
    <n v="120"/>
  </r>
  <r>
    <x v="1"/>
    <x v="1"/>
    <x v="1"/>
    <n v="259"/>
    <n v="43860"/>
    <s v="JUEVES"/>
    <s v="Malpaisillo"/>
    <m/>
    <m/>
    <m/>
    <n v="120"/>
    <n v="120"/>
  </r>
  <r>
    <x v="1"/>
    <x v="1"/>
    <x v="1"/>
    <n v="260"/>
    <n v="43861"/>
    <s v="VIERNES"/>
    <s v="Malpaisillo"/>
    <m/>
    <m/>
    <m/>
    <n v="120"/>
    <n v="120"/>
  </r>
  <r>
    <x v="1"/>
    <x v="1"/>
    <x v="1"/>
    <n v="261"/>
    <n v="43862"/>
    <s v="SÁBADO"/>
    <s v="Malpaisillo"/>
    <m/>
    <m/>
    <m/>
    <n v="120"/>
    <n v="120"/>
  </r>
  <r>
    <x v="1"/>
    <x v="1"/>
    <x v="1"/>
    <n v="262"/>
    <n v="43863"/>
    <s v="DOMINGO"/>
    <s v="Malpaisillo"/>
    <m/>
    <m/>
    <m/>
    <n v="120"/>
    <n v="120"/>
  </r>
  <r>
    <x v="1"/>
    <x v="1"/>
    <x v="1"/>
    <n v="263"/>
    <n v="43866"/>
    <s v="MIÉRCOLES"/>
    <s v="Malpaisillo"/>
    <m/>
    <m/>
    <m/>
    <n v="120"/>
    <n v="120"/>
  </r>
  <r>
    <x v="26"/>
    <x v="26"/>
    <x v="1"/>
    <n v="264"/>
    <n v="43855"/>
    <s v="SÁBADO"/>
    <s v="Malpaisillo"/>
    <m/>
    <m/>
    <m/>
    <n v="120"/>
    <n v="120"/>
  </r>
  <r>
    <x v="26"/>
    <x v="26"/>
    <x v="1"/>
    <n v="265"/>
    <n v="43856"/>
    <s v="DOMINGO"/>
    <s v="Malpaisillo"/>
    <m/>
    <m/>
    <m/>
    <n v="120"/>
    <n v="120"/>
  </r>
  <r>
    <x v="26"/>
    <x v="26"/>
    <x v="1"/>
    <n v="266"/>
    <n v="43857"/>
    <s v="LUNES"/>
    <s v="Malpaisillo"/>
    <m/>
    <m/>
    <m/>
    <n v="120"/>
    <n v="120"/>
  </r>
  <r>
    <x v="26"/>
    <x v="26"/>
    <x v="1"/>
    <n v="267"/>
    <n v="43858"/>
    <s v="MARTES"/>
    <s v="Malpaisillo"/>
    <m/>
    <m/>
    <m/>
    <n v="120"/>
    <n v="120"/>
  </r>
  <r>
    <x v="26"/>
    <x v="26"/>
    <x v="1"/>
    <n v="268"/>
    <n v="43861"/>
    <s v="VIERNES"/>
    <s v="Malpaisillo"/>
    <m/>
    <m/>
    <m/>
    <n v="120"/>
    <n v="120"/>
  </r>
  <r>
    <x v="26"/>
    <x v="26"/>
    <x v="1"/>
    <n v="269"/>
    <n v="43862"/>
    <s v="SÁBADO"/>
    <s v="Malpaisillo"/>
    <m/>
    <m/>
    <m/>
    <n v="120"/>
    <n v="120"/>
  </r>
  <r>
    <x v="26"/>
    <x v="26"/>
    <x v="1"/>
    <n v="270"/>
    <n v="43863"/>
    <s v="DOMINGO"/>
    <s v="Malpaisillo"/>
    <m/>
    <m/>
    <m/>
    <n v="120"/>
    <n v="120"/>
  </r>
  <r>
    <x v="26"/>
    <x v="26"/>
    <x v="1"/>
    <n v="271"/>
    <n v="43864"/>
    <s v="LUNES"/>
    <s v="Malpaisillo"/>
    <m/>
    <m/>
    <m/>
    <n v="120"/>
    <n v="120"/>
  </r>
  <r>
    <x v="26"/>
    <x v="26"/>
    <x v="1"/>
    <n v="272"/>
    <n v="43865"/>
    <s v="MARTES"/>
    <s v="Malpaisillo"/>
    <m/>
    <m/>
    <m/>
    <n v="120"/>
    <n v="120"/>
  </r>
  <r>
    <x v="3"/>
    <x v="3"/>
    <x v="1"/>
    <n v="273"/>
    <n v="43855"/>
    <s v="SÁBADO"/>
    <s v="Malpaisillo"/>
    <m/>
    <m/>
    <m/>
    <n v="120"/>
    <n v="120"/>
  </r>
  <r>
    <x v="3"/>
    <x v="3"/>
    <x v="1"/>
    <n v="274"/>
    <n v="43856"/>
    <s v="DOMINGO"/>
    <s v="Malpaisillo"/>
    <m/>
    <m/>
    <m/>
    <n v="120"/>
    <n v="120"/>
  </r>
  <r>
    <x v="3"/>
    <x v="3"/>
    <x v="1"/>
    <n v="275"/>
    <n v="43857"/>
    <s v="LUNES"/>
    <s v="Malpaisillo"/>
    <m/>
    <m/>
    <m/>
    <n v="120"/>
    <n v="120"/>
  </r>
  <r>
    <x v="3"/>
    <x v="3"/>
    <x v="1"/>
    <n v="276"/>
    <n v="43858"/>
    <s v="MARTES"/>
    <s v="Malpaisillo"/>
    <m/>
    <m/>
    <m/>
    <n v="120"/>
    <n v="120"/>
  </r>
  <r>
    <x v="3"/>
    <x v="3"/>
    <x v="1"/>
    <n v="277"/>
    <n v="43861"/>
    <s v="VIERNES"/>
    <s v="Malpaisillo"/>
    <m/>
    <m/>
    <m/>
    <n v="120"/>
    <n v="120"/>
  </r>
  <r>
    <x v="3"/>
    <x v="3"/>
    <x v="1"/>
    <n v="278"/>
    <n v="43862"/>
    <s v="SÁBADO"/>
    <s v="Malpaisillo"/>
    <m/>
    <m/>
    <m/>
    <n v="120"/>
    <n v="120"/>
  </r>
  <r>
    <x v="3"/>
    <x v="3"/>
    <x v="1"/>
    <n v="279"/>
    <n v="43863"/>
    <s v="DOMINGO"/>
    <s v="Malpaisillo"/>
    <m/>
    <m/>
    <m/>
    <n v="120"/>
    <n v="120"/>
  </r>
  <r>
    <x v="3"/>
    <x v="3"/>
    <x v="1"/>
    <n v="280"/>
    <n v="43864"/>
    <s v="LUNES"/>
    <s v="Malpaisillo"/>
    <m/>
    <m/>
    <m/>
    <n v="120"/>
    <n v="120"/>
  </r>
  <r>
    <x v="3"/>
    <x v="3"/>
    <x v="1"/>
    <n v="281"/>
    <n v="43865"/>
    <s v="MARTES"/>
    <s v="Malpaisillo"/>
    <m/>
    <m/>
    <m/>
    <n v="120"/>
    <n v="120"/>
  </r>
  <r>
    <x v="44"/>
    <x v="44"/>
    <x v="1"/>
    <n v="282"/>
    <n v="43855"/>
    <s v="SÁBADO"/>
    <s v="Malpaisillo"/>
    <m/>
    <m/>
    <m/>
    <n v="120"/>
    <n v="120"/>
  </r>
  <r>
    <x v="44"/>
    <x v="44"/>
    <x v="1"/>
    <n v="283"/>
    <n v="43856"/>
    <s v="DOMINGO"/>
    <s v="Malpaisillo"/>
    <m/>
    <m/>
    <m/>
    <n v="120"/>
    <n v="120"/>
  </r>
  <r>
    <x v="44"/>
    <x v="44"/>
    <x v="1"/>
    <n v="284"/>
    <n v="43857"/>
    <s v="LUNES"/>
    <s v="Malpaisillo"/>
    <m/>
    <m/>
    <m/>
    <n v="120"/>
    <n v="120"/>
  </r>
  <r>
    <x v="44"/>
    <x v="44"/>
    <x v="1"/>
    <n v="285"/>
    <n v="43858"/>
    <s v="MARTES"/>
    <s v="Malpaisillo"/>
    <m/>
    <m/>
    <m/>
    <n v="120"/>
    <n v="120"/>
  </r>
  <r>
    <x v="44"/>
    <x v="44"/>
    <x v="1"/>
    <n v="286"/>
    <n v="43861"/>
    <s v="VIERNES"/>
    <s v="Malpaisillo"/>
    <m/>
    <m/>
    <m/>
    <n v="120"/>
    <n v="120"/>
  </r>
  <r>
    <x v="44"/>
    <x v="44"/>
    <x v="1"/>
    <n v="287"/>
    <n v="43862"/>
    <s v="SÁBADO"/>
    <s v="Malpaisillo"/>
    <m/>
    <m/>
    <m/>
    <n v="120"/>
    <n v="120"/>
  </r>
  <r>
    <x v="44"/>
    <x v="44"/>
    <x v="1"/>
    <n v="288"/>
    <n v="43863"/>
    <s v="DOMINGO"/>
    <s v="Malpaisillo"/>
    <m/>
    <m/>
    <m/>
    <n v="120"/>
    <n v="120"/>
  </r>
  <r>
    <x v="44"/>
    <x v="44"/>
    <x v="1"/>
    <n v="289"/>
    <n v="43864"/>
    <s v="LUNES"/>
    <s v="Malpaisillo"/>
    <m/>
    <m/>
    <m/>
    <n v="120"/>
    <n v="120"/>
  </r>
  <r>
    <x v="44"/>
    <x v="44"/>
    <x v="1"/>
    <n v="290"/>
    <n v="43865"/>
    <s v="MARTES"/>
    <s v="Malpaisillo"/>
    <m/>
    <m/>
    <m/>
    <n v="120"/>
    <n v="120"/>
  </r>
  <r>
    <x v="36"/>
    <x v="36"/>
    <x v="1"/>
    <n v="291"/>
    <n v="43855"/>
    <s v="SÁBADO"/>
    <s v="Malpaisillo"/>
    <m/>
    <m/>
    <m/>
    <n v="120"/>
    <n v="120"/>
  </r>
  <r>
    <x v="36"/>
    <x v="36"/>
    <x v="1"/>
    <n v="292"/>
    <n v="43856"/>
    <s v="DOMINGO"/>
    <s v="Malpaisillo"/>
    <m/>
    <m/>
    <m/>
    <n v="120"/>
    <n v="120"/>
  </r>
  <r>
    <x v="36"/>
    <x v="36"/>
    <x v="1"/>
    <n v="293"/>
    <n v="43857"/>
    <s v="LUNES"/>
    <s v="Malpaisillo"/>
    <m/>
    <m/>
    <m/>
    <n v="120"/>
    <n v="120"/>
  </r>
  <r>
    <x v="36"/>
    <x v="36"/>
    <x v="1"/>
    <n v="294"/>
    <n v="43858"/>
    <s v="MARTES"/>
    <s v="Malpaisillo"/>
    <m/>
    <m/>
    <m/>
    <n v="120"/>
    <n v="120"/>
  </r>
  <r>
    <x v="36"/>
    <x v="36"/>
    <x v="1"/>
    <n v="295"/>
    <n v="43861"/>
    <s v="VIERNES"/>
    <s v="Malpaisillo"/>
    <m/>
    <m/>
    <m/>
    <n v="120"/>
    <n v="120"/>
  </r>
  <r>
    <x v="36"/>
    <x v="36"/>
    <x v="1"/>
    <n v="296"/>
    <n v="43862"/>
    <s v="SÁBADO"/>
    <s v="Malpaisillo"/>
    <m/>
    <m/>
    <m/>
    <n v="120"/>
    <n v="120"/>
  </r>
  <r>
    <x v="36"/>
    <x v="36"/>
    <x v="1"/>
    <n v="297"/>
    <n v="43863"/>
    <s v="DOMINGO"/>
    <s v="Malpaisillo"/>
    <m/>
    <m/>
    <m/>
    <n v="120"/>
    <n v="120"/>
  </r>
  <r>
    <x v="36"/>
    <x v="36"/>
    <x v="1"/>
    <n v="298"/>
    <n v="43864"/>
    <s v="LUNES"/>
    <s v="Malpaisillo"/>
    <m/>
    <m/>
    <m/>
    <n v="120"/>
    <n v="120"/>
  </r>
  <r>
    <x v="36"/>
    <x v="36"/>
    <x v="1"/>
    <n v="299"/>
    <n v="43865"/>
    <s v="MARTES"/>
    <s v="Malpaisillo"/>
    <m/>
    <m/>
    <m/>
    <n v="120"/>
    <n v="120"/>
  </r>
  <r>
    <x v="38"/>
    <x v="38"/>
    <x v="1"/>
    <n v="300"/>
    <n v="43855"/>
    <s v="SÁBADO"/>
    <s v="Malpaisillo"/>
    <m/>
    <m/>
    <m/>
    <n v="120"/>
    <n v="120"/>
  </r>
  <r>
    <x v="38"/>
    <x v="38"/>
    <x v="1"/>
    <n v="301"/>
    <n v="43856"/>
    <s v="DOMINGO"/>
    <s v="Malpaisillo"/>
    <m/>
    <m/>
    <m/>
    <n v="120"/>
    <n v="120"/>
  </r>
  <r>
    <x v="38"/>
    <x v="38"/>
    <x v="1"/>
    <n v="302"/>
    <n v="43857"/>
    <s v="LUNES"/>
    <s v="Malpaisillo"/>
    <m/>
    <m/>
    <m/>
    <n v="120"/>
    <n v="120"/>
  </r>
  <r>
    <x v="38"/>
    <x v="38"/>
    <x v="1"/>
    <n v="303"/>
    <n v="43858"/>
    <s v="MARTES"/>
    <s v="Malpaisillo"/>
    <m/>
    <m/>
    <m/>
    <n v="120"/>
    <n v="120"/>
  </r>
  <r>
    <x v="38"/>
    <x v="38"/>
    <x v="1"/>
    <n v="304"/>
    <n v="43859"/>
    <s v="MIÉRCOLES"/>
    <s v="Malpaisillo"/>
    <m/>
    <m/>
    <m/>
    <n v="120"/>
    <n v="120"/>
  </r>
  <r>
    <x v="37"/>
    <x v="37"/>
    <x v="1"/>
    <n v="305"/>
    <n v="43855"/>
    <s v="SÁBADO"/>
    <s v="Malpaisillo"/>
    <m/>
    <m/>
    <m/>
    <n v="120"/>
    <n v="120"/>
  </r>
  <r>
    <x v="37"/>
    <x v="37"/>
    <x v="1"/>
    <n v="306"/>
    <n v="43856"/>
    <s v="DOMINGO"/>
    <s v="Malpaisillo"/>
    <m/>
    <m/>
    <m/>
    <n v="120"/>
    <n v="120"/>
  </r>
  <r>
    <x v="37"/>
    <x v="37"/>
    <x v="1"/>
    <n v="307"/>
    <n v="43857"/>
    <s v="LUNES"/>
    <s v="Malpaisillo"/>
    <m/>
    <m/>
    <m/>
    <n v="120"/>
    <n v="120"/>
  </r>
  <r>
    <x v="37"/>
    <x v="37"/>
    <x v="1"/>
    <n v="308"/>
    <n v="43858"/>
    <s v="MARTES"/>
    <s v="Malpaisillo"/>
    <m/>
    <m/>
    <m/>
    <n v="120"/>
    <n v="120"/>
  </r>
  <r>
    <x v="37"/>
    <x v="37"/>
    <x v="1"/>
    <n v="309"/>
    <n v="43859"/>
    <s v="MIÉRCOLES"/>
    <s v="Malpaisillo"/>
    <m/>
    <m/>
    <m/>
    <n v="120"/>
    <n v="120"/>
  </r>
  <r>
    <x v="2"/>
    <x v="2"/>
    <x v="1"/>
    <n v="310"/>
    <n v="43857"/>
    <s v="LUNES"/>
    <s v="Malpaisillo"/>
    <m/>
    <m/>
    <m/>
    <n v="120"/>
    <n v="120"/>
  </r>
  <r>
    <x v="2"/>
    <x v="2"/>
    <x v="1"/>
    <n v="311"/>
    <n v="43858"/>
    <s v="MARTES"/>
    <s v="Malpaisillo"/>
    <m/>
    <m/>
    <m/>
    <n v="120"/>
    <n v="120"/>
  </r>
  <r>
    <x v="2"/>
    <x v="2"/>
    <x v="1"/>
    <n v="312"/>
    <n v="43859"/>
    <s v="MIÉRCOLES"/>
    <s v="Malpaisillo"/>
    <m/>
    <m/>
    <m/>
    <n v="120"/>
    <n v="120"/>
  </r>
  <r>
    <x v="2"/>
    <x v="2"/>
    <x v="1"/>
    <n v="313"/>
    <n v="43864"/>
    <s v="LUNES"/>
    <s v="Malpaisillo"/>
    <m/>
    <m/>
    <m/>
    <n v="120"/>
    <n v="120"/>
  </r>
  <r>
    <x v="2"/>
    <x v="2"/>
    <x v="1"/>
    <n v="314"/>
    <n v="43865"/>
    <s v="MARTES"/>
    <s v="Malpaisillo"/>
    <m/>
    <m/>
    <m/>
    <n v="120"/>
    <n v="120"/>
  </r>
  <r>
    <x v="2"/>
    <x v="2"/>
    <x v="1"/>
    <n v="315"/>
    <n v="43866"/>
    <s v="MIÉRCOLES"/>
    <s v="Malpaisillo"/>
    <m/>
    <m/>
    <m/>
    <n v="120"/>
    <n v="120"/>
  </r>
  <r>
    <x v="25"/>
    <x v="25"/>
    <x v="1"/>
    <n v="316"/>
    <n v="43857"/>
    <s v="LUNES"/>
    <s v="Malpaisillo"/>
    <m/>
    <m/>
    <m/>
    <n v="120"/>
    <n v="120"/>
  </r>
  <r>
    <x v="25"/>
    <x v="25"/>
    <x v="1"/>
    <n v="317"/>
    <n v="43858"/>
    <s v="MARTES"/>
    <s v="Malpaisillo"/>
    <m/>
    <m/>
    <m/>
    <n v="120"/>
    <n v="120"/>
  </r>
  <r>
    <x v="25"/>
    <x v="25"/>
    <x v="1"/>
    <n v="318"/>
    <n v="43859"/>
    <s v="MIÉRCOLES"/>
    <s v="Malpaisillo"/>
    <m/>
    <m/>
    <m/>
    <n v="120"/>
    <n v="120"/>
  </r>
  <r>
    <x v="25"/>
    <x v="25"/>
    <x v="1"/>
    <n v="319"/>
    <n v="43864"/>
    <s v="LUNES"/>
    <s v="Malpaisillo"/>
    <m/>
    <m/>
    <m/>
    <n v="120"/>
    <n v="120"/>
  </r>
  <r>
    <x v="25"/>
    <x v="25"/>
    <x v="1"/>
    <n v="320"/>
    <n v="43865"/>
    <s v="MARTES"/>
    <s v="Malpaisillo"/>
    <m/>
    <m/>
    <m/>
    <n v="120"/>
    <n v="120"/>
  </r>
  <r>
    <x v="25"/>
    <x v="25"/>
    <x v="1"/>
    <n v="321"/>
    <n v="43866"/>
    <s v="MIÉRCOLES"/>
    <s v="Malpaisillo"/>
    <m/>
    <m/>
    <m/>
    <n v="120"/>
    <n v="120"/>
  </r>
  <r>
    <x v="33"/>
    <x v="33"/>
    <x v="1"/>
    <n v="322"/>
    <n v="43860"/>
    <s v="JUEVES"/>
    <s v="Malpaisillo"/>
    <m/>
    <m/>
    <m/>
    <n v="120"/>
    <n v="120"/>
  </r>
  <r>
    <x v="45"/>
    <x v="45"/>
    <x v="1"/>
    <n v="323"/>
    <n v="43860"/>
    <s v="JUEVES"/>
    <s v="Malpaisillo"/>
    <m/>
    <m/>
    <m/>
    <n v="120"/>
    <n v="120"/>
  </r>
  <r>
    <x v="46"/>
    <x v="46"/>
    <x v="1"/>
    <n v="324"/>
    <n v="43859"/>
    <s v="MIÉRCOLES"/>
    <s v="Malpaisillo"/>
    <m/>
    <m/>
    <m/>
    <n v="120"/>
    <n v="120"/>
  </r>
  <r>
    <x v="46"/>
    <x v="46"/>
    <x v="1"/>
    <n v="325"/>
    <n v="43866"/>
    <s v="MIÉRCOLES"/>
    <s v="Malpaisillo"/>
    <m/>
    <m/>
    <m/>
    <n v="120"/>
    <n v="120"/>
  </r>
  <r>
    <x v="47"/>
    <x v="47"/>
    <x v="1"/>
    <n v="326"/>
    <n v="43859"/>
    <s v="MIÉRCOLES"/>
    <s v="Malpaisillo"/>
    <m/>
    <m/>
    <m/>
    <n v="120"/>
    <n v="120"/>
  </r>
  <r>
    <x v="47"/>
    <x v="47"/>
    <x v="1"/>
    <n v="327"/>
    <n v="43866"/>
    <s v="MIÉRCOLES"/>
    <s v="Malpaisillo"/>
    <m/>
    <m/>
    <m/>
    <n v="120"/>
    <n v="120"/>
  </r>
  <r>
    <x v="17"/>
    <x v="17"/>
    <x v="1"/>
    <n v="328"/>
    <n v="43860"/>
    <s v="JUEVES"/>
    <s v="Malpaisillo"/>
    <m/>
    <m/>
    <m/>
    <n v="120"/>
    <n v="120"/>
  </r>
  <r>
    <x v="17"/>
    <x v="17"/>
    <x v="1"/>
    <n v="329"/>
    <n v="43863"/>
    <s v="DOMINGO"/>
    <s v="Malpaisillo"/>
    <m/>
    <m/>
    <m/>
    <n v="120"/>
    <n v="120"/>
  </r>
  <r>
    <x v="48"/>
    <x v="48"/>
    <x v="5"/>
    <n v="330"/>
    <n v="43856"/>
    <s v="DOMINGO"/>
    <s v="CHAMPAS KIMBERLY"/>
    <m/>
    <n v="65"/>
    <m/>
    <m/>
    <n v="65"/>
  </r>
  <r>
    <x v="49"/>
    <x v="49"/>
    <x v="5"/>
    <n v="331"/>
    <n v="43856"/>
    <s v="DOMINGO"/>
    <s v="La Pistola"/>
    <m/>
    <n v="35"/>
    <m/>
    <m/>
    <n v="35"/>
  </r>
  <r>
    <x v="39"/>
    <x v="39"/>
    <x v="1"/>
    <n v="332"/>
    <n v="43856"/>
    <s v="DOMINGO"/>
    <s v="La India"/>
    <m/>
    <n v="35"/>
    <m/>
    <m/>
    <n v="35"/>
  </r>
  <r>
    <x v="50"/>
    <x v="50"/>
    <x v="5"/>
    <n v="333"/>
    <n v="43888"/>
    <s v="JUEVES"/>
    <s v="CHAMPAS KIMBERLY"/>
    <m/>
    <n v="65"/>
    <m/>
    <m/>
    <n v="65"/>
  </r>
  <r>
    <x v="51"/>
    <x v="51"/>
    <x v="5"/>
    <n v="334"/>
    <n v="43888"/>
    <s v="JUEVES"/>
    <s v="Las Grietas"/>
    <m/>
    <n v="35"/>
    <m/>
    <m/>
    <n v="35"/>
  </r>
  <r>
    <x v="52"/>
    <x v="52"/>
    <x v="5"/>
    <n v="335"/>
    <n v="43888"/>
    <s v="JUEVES"/>
    <s v="Las Grietas"/>
    <m/>
    <n v="35"/>
    <m/>
    <m/>
    <n v="35"/>
  </r>
  <r>
    <x v="53"/>
    <x v="53"/>
    <x v="5"/>
    <n v="336"/>
    <n v="43888"/>
    <s v="JUEVES"/>
    <s v="CHAMPAS KIMBERLY"/>
    <m/>
    <n v="65"/>
    <m/>
    <m/>
    <n v="65"/>
  </r>
  <r>
    <x v="54"/>
    <x v="54"/>
    <x v="5"/>
    <n v="337"/>
    <n v="43888"/>
    <s v="JUEVES"/>
    <s v="Santa Celia"/>
    <m/>
    <n v="35"/>
    <m/>
    <m/>
    <n v="35"/>
  </r>
  <r>
    <x v="55"/>
    <x v="55"/>
    <x v="5"/>
    <n v="338"/>
    <n v="43888"/>
    <s v="JUEVES"/>
    <s v="Las Grietas"/>
    <m/>
    <n v="35"/>
    <m/>
    <m/>
    <n v="35"/>
  </r>
  <r>
    <x v="56"/>
    <x v="56"/>
    <x v="5"/>
    <n v="339"/>
    <n v="43888"/>
    <s v="JUEVES"/>
    <s v="Ojo de Agua"/>
    <m/>
    <n v="35"/>
    <m/>
    <m/>
    <n v="35"/>
  </r>
  <r>
    <x v="57"/>
    <x v="57"/>
    <x v="5"/>
    <n v="340"/>
    <n v="43858"/>
    <s v="MARTES"/>
    <s v="CHAMPAS KIMBERLY"/>
    <m/>
    <n v="65"/>
    <m/>
    <m/>
    <n v="65"/>
  </r>
  <r>
    <x v="58"/>
    <x v="58"/>
    <x v="5"/>
    <n v="341"/>
    <n v="43858"/>
    <s v="MARTES"/>
    <s v="Santa Celia"/>
    <m/>
    <n v="35"/>
    <m/>
    <m/>
    <n v="35"/>
  </r>
  <r>
    <x v="50"/>
    <x v="50"/>
    <x v="5"/>
    <n v="342"/>
    <n v="43858"/>
    <s v="MARTES"/>
    <s v="Las Grietas"/>
    <m/>
    <n v="35"/>
    <m/>
    <m/>
    <n v="35"/>
  </r>
  <r>
    <x v="51"/>
    <x v="51"/>
    <x v="5"/>
    <n v="343"/>
    <n v="43858"/>
    <s v="MARTES"/>
    <s v="Las Grietas"/>
    <m/>
    <n v="35"/>
    <m/>
    <m/>
    <n v="35"/>
  </r>
  <r>
    <x v="59"/>
    <x v="59"/>
    <x v="5"/>
    <n v="344"/>
    <n v="43858"/>
    <s v="MARTES"/>
    <s v="Ojo de Agua"/>
    <m/>
    <n v="35"/>
    <m/>
    <m/>
    <n v="35"/>
  </r>
  <r>
    <x v="60"/>
    <x v="60"/>
    <x v="5"/>
    <n v="345"/>
    <n v="43858"/>
    <s v="MARTES"/>
    <s v="CHAMPAS KIMBERLY"/>
    <m/>
    <n v="65"/>
    <m/>
    <m/>
    <n v="65"/>
  </r>
  <r>
    <x v="57"/>
    <x v="57"/>
    <x v="5"/>
    <n v="346"/>
    <n v="43859"/>
    <s v="MIÉRCOLES"/>
    <s v="Santa Celia"/>
    <m/>
    <n v="35"/>
    <m/>
    <m/>
    <n v="35"/>
  </r>
  <r>
    <x v="58"/>
    <x v="58"/>
    <x v="5"/>
    <n v="347"/>
    <n v="43859"/>
    <s v="MIÉRCOLES"/>
    <s v="Malpaisillo"/>
    <m/>
    <n v="65"/>
    <m/>
    <m/>
    <n v="65"/>
  </r>
  <r>
    <x v="59"/>
    <x v="59"/>
    <x v="5"/>
    <n v="348"/>
    <n v="43859"/>
    <s v="MIÉRCOLES"/>
    <s v="Las Grietas"/>
    <m/>
    <n v="35"/>
    <m/>
    <m/>
    <n v="35"/>
  </r>
  <r>
    <x v="53"/>
    <x v="53"/>
    <x v="5"/>
    <n v="349"/>
    <n v="43859"/>
    <s v="MIÉRCOLES"/>
    <s v="Santa Celia"/>
    <m/>
    <n v="35"/>
    <m/>
    <m/>
    <n v="35"/>
  </r>
  <r>
    <x v="61"/>
    <x v="61"/>
    <x v="5"/>
    <n v="350"/>
    <n v="43859"/>
    <s v="MIÉRCOLES"/>
    <s v="Malpaisillo"/>
    <m/>
    <n v="65"/>
    <m/>
    <m/>
    <n v="65"/>
  </r>
  <r>
    <x v="57"/>
    <x v="57"/>
    <x v="5"/>
    <n v="351"/>
    <n v="43860"/>
    <s v="JUEVES"/>
    <s v="Las Grietas"/>
    <m/>
    <n v="35"/>
    <m/>
    <m/>
    <n v="35"/>
  </r>
  <r>
    <x v="58"/>
    <x v="58"/>
    <x v="5"/>
    <n v="352"/>
    <n v="43860"/>
    <s v="JUEVES"/>
    <s v="Santa Celia"/>
    <m/>
    <n v="35"/>
    <m/>
    <m/>
    <n v="35"/>
  </r>
  <r>
    <x v="49"/>
    <x v="49"/>
    <x v="5"/>
    <n v="353"/>
    <n v="43860"/>
    <s v="JUEVES"/>
    <s v="Malpaisillo"/>
    <m/>
    <n v="65"/>
    <m/>
    <m/>
    <n v="65"/>
  </r>
  <r>
    <x v="58"/>
    <x v="58"/>
    <x v="5"/>
    <n v="354"/>
    <n v="43861"/>
    <s v="VIERNES"/>
    <s v="Santa Celia"/>
    <m/>
    <n v="35"/>
    <m/>
    <m/>
    <n v="35"/>
  </r>
  <r>
    <x v="49"/>
    <x v="49"/>
    <x v="5"/>
    <n v="355"/>
    <n v="43861"/>
    <s v="VIERNES"/>
    <s v="Malpaisillo"/>
    <m/>
    <n v="65"/>
    <m/>
    <m/>
    <n v="65"/>
  </r>
  <r>
    <x v="53"/>
    <x v="53"/>
    <x v="5"/>
    <n v="356"/>
    <n v="43861"/>
    <s v="VIERNES"/>
    <s v="Santa Rosa"/>
    <m/>
    <n v="35"/>
    <m/>
    <m/>
    <n v="35"/>
  </r>
  <r>
    <x v="62"/>
    <x v="62"/>
    <x v="5"/>
    <n v="357"/>
    <n v="43861"/>
    <s v="VIERNES"/>
    <s v="Las Grietas"/>
    <m/>
    <n v="35"/>
    <m/>
    <m/>
    <n v="35"/>
  </r>
  <r>
    <x v="63"/>
    <x v="63"/>
    <x v="5"/>
    <n v="358"/>
    <n v="43861"/>
    <s v="VIERNES"/>
    <s v="Santa Celia"/>
    <m/>
    <n v="35"/>
    <m/>
    <m/>
    <n v="35"/>
  </r>
  <r>
    <x v="60"/>
    <x v="60"/>
    <x v="5"/>
    <n v="359"/>
    <n v="43861"/>
    <s v="VIERNES"/>
    <s v="San Jose del Obraje"/>
    <m/>
    <n v="35"/>
    <m/>
    <m/>
    <n v="35"/>
  </r>
  <r>
    <x v="64"/>
    <x v="64"/>
    <x v="5"/>
    <n v="360"/>
    <n v="43861"/>
    <s v="VIERNES"/>
    <s v="San Jose del Obraje"/>
    <m/>
    <n v="35"/>
    <m/>
    <m/>
    <n v="35"/>
  </r>
  <r>
    <x v="55"/>
    <x v="55"/>
    <x v="5"/>
    <n v="361"/>
    <n v="43862"/>
    <s v="SÁBADO"/>
    <s v="Las Grietas"/>
    <m/>
    <n v="35"/>
    <m/>
    <m/>
    <n v="35"/>
  </r>
  <r>
    <x v="65"/>
    <x v="65"/>
    <x v="5"/>
    <n v="362"/>
    <n v="43862"/>
    <s v="SÁBADO"/>
    <s v="Santa Celia"/>
    <m/>
    <n v="35"/>
    <m/>
    <m/>
    <n v="35"/>
  </r>
  <r>
    <x v="66"/>
    <x v="66"/>
    <x v="5"/>
    <n v="363"/>
    <n v="43862"/>
    <s v="SÁBADO"/>
    <s v="Santa Celia"/>
    <m/>
    <n v="35"/>
    <m/>
    <m/>
    <n v="35"/>
  </r>
  <r>
    <x v="60"/>
    <x v="60"/>
    <x v="5"/>
    <n v="364"/>
    <n v="43862"/>
    <s v="SÁBADO"/>
    <s v="Las Grietas"/>
    <m/>
    <n v="35"/>
    <m/>
    <m/>
    <n v="35"/>
  </r>
  <r>
    <x v="51"/>
    <x v="51"/>
    <x v="5"/>
    <n v="365"/>
    <n v="43863"/>
    <s v="DOMINGO"/>
    <s v="Las Grietas"/>
    <m/>
    <n v="35"/>
    <m/>
    <m/>
    <n v="35"/>
  </r>
  <r>
    <x v="67"/>
    <x v="67"/>
    <x v="5"/>
    <n v="366"/>
    <n v="43863"/>
    <s v="DOMINGO"/>
    <s v="Santa Rosa"/>
    <m/>
    <n v="35"/>
    <m/>
    <m/>
    <n v="35"/>
  </r>
  <r>
    <x v="68"/>
    <x v="68"/>
    <x v="5"/>
    <n v="367"/>
    <n v="43863"/>
    <s v="DOMINGO"/>
    <s v="Santa Rosa"/>
    <m/>
    <n v="35"/>
    <m/>
    <m/>
    <n v="35"/>
  </r>
  <r>
    <x v="51"/>
    <x v="51"/>
    <x v="5"/>
    <n v="368"/>
    <n v="43864"/>
    <s v="LUNES"/>
    <s v="Las Grietas"/>
    <m/>
    <n v="35"/>
    <m/>
    <m/>
    <n v="35"/>
  </r>
  <r>
    <x v="53"/>
    <x v="53"/>
    <x v="5"/>
    <n v="369"/>
    <n v="43864"/>
    <s v="LUNES"/>
    <s v="Santa Celia"/>
    <m/>
    <n v="35"/>
    <m/>
    <m/>
    <n v="35"/>
  </r>
  <r>
    <x v="54"/>
    <x v="54"/>
    <x v="5"/>
    <n v="370"/>
    <n v="43864"/>
    <s v="LUNES"/>
    <s v="Los Planes"/>
    <m/>
    <n v="65"/>
    <m/>
    <m/>
    <n v="65"/>
  </r>
  <r>
    <x v="69"/>
    <x v="69"/>
    <x v="5"/>
    <n v="371"/>
    <n v="43864"/>
    <s v="LUNES"/>
    <s v="Solferina"/>
    <m/>
    <n v="65"/>
    <m/>
    <m/>
    <n v="65"/>
  </r>
  <r>
    <x v="61"/>
    <x v="61"/>
    <x v="5"/>
    <n v="372"/>
    <n v="43864"/>
    <s v="LUNES"/>
    <s v="Santa Celia"/>
    <m/>
    <n v="35"/>
    <m/>
    <m/>
    <n v="35"/>
  </r>
  <r>
    <x v="57"/>
    <x v="57"/>
    <x v="5"/>
    <n v="373"/>
    <n v="43865"/>
    <s v="MARTES"/>
    <s v="Solferina"/>
    <m/>
    <n v="65"/>
    <m/>
    <m/>
    <n v="65"/>
  </r>
  <r>
    <x v="51"/>
    <x v="51"/>
    <x v="5"/>
    <n v="374"/>
    <n v="43865"/>
    <s v="MARTES"/>
    <s v="Las Grietas"/>
    <m/>
    <n v="35"/>
    <m/>
    <m/>
    <n v="35"/>
  </r>
  <r>
    <x v="53"/>
    <x v="53"/>
    <x v="5"/>
    <n v="375"/>
    <n v="43865"/>
    <s v="MARTES"/>
    <s v="Los Planes"/>
    <m/>
    <n v="65"/>
    <m/>
    <m/>
    <n v="65"/>
  </r>
  <r>
    <x v="70"/>
    <x v="70"/>
    <x v="5"/>
    <n v="376"/>
    <n v="43865"/>
    <s v="MARTES"/>
    <s v="Carlota"/>
    <m/>
    <n v="35"/>
    <m/>
    <m/>
    <n v="35"/>
  </r>
  <r>
    <x v="56"/>
    <x v="56"/>
    <x v="5"/>
    <n v="377"/>
    <n v="43865"/>
    <s v="MARTES"/>
    <s v="Los Planes"/>
    <m/>
    <n v="65"/>
    <m/>
    <m/>
    <n v="65"/>
  </r>
  <r>
    <x v="63"/>
    <x v="63"/>
    <x v="5"/>
    <n v="378"/>
    <n v="43865"/>
    <s v="MARTES"/>
    <s v="Solferina"/>
    <m/>
    <n v="65"/>
    <m/>
    <m/>
    <n v="65"/>
  </r>
  <r>
    <x v="60"/>
    <x v="60"/>
    <x v="5"/>
    <n v="379"/>
    <n v="43865"/>
    <s v="MARTES"/>
    <s v="Solferina"/>
    <m/>
    <n v="65"/>
    <m/>
    <m/>
    <n v="65"/>
  </r>
  <r>
    <x v="64"/>
    <x v="64"/>
    <x v="5"/>
    <n v="380"/>
    <n v="43865"/>
    <s v="MARTES"/>
    <s v="Solferina"/>
    <m/>
    <n v="65"/>
    <m/>
    <m/>
    <n v="65"/>
  </r>
  <r>
    <x v="71"/>
    <x v="71"/>
    <x v="5"/>
    <n v="381"/>
    <n v="43865"/>
    <s v="MARTES"/>
    <s v="Santa Celia"/>
    <m/>
    <n v="35"/>
    <m/>
    <m/>
    <n v="35"/>
  </r>
  <r>
    <x v="72"/>
    <x v="72"/>
    <x v="5"/>
    <n v="382"/>
    <n v="43866"/>
    <s v="MIÉRCOLES"/>
    <s v="Solferina"/>
    <m/>
    <n v="65"/>
    <m/>
    <m/>
    <n v="65"/>
  </r>
  <r>
    <x v="50"/>
    <x v="50"/>
    <x v="5"/>
    <n v="383"/>
    <n v="43866"/>
    <s v="MIÉRCOLES"/>
    <s v="Carlota"/>
    <m/>
    <n v="35"/>
    <m/>
    <m/>
    <n v="35"/>
  </r>
  <r>
    <x v="53"/>
    <x v="53"/>
    <x v="5"/>
    <n v="384"/>
    <n v="43866"/>
    <s v="MIÉRCOLES"/>
    <s v="Solferina"/>
    <m/>
    <n v="65"/>
    <m/>
    <m/>
    <n v="65"/>
  </r>
  <r>
    <x v="65"/>
    <x v="65"/>
    <x v="5"/>
    <n v="385"/>
    <n v="43866"/>
    <s v="MIÉRCOLES"/>
    <s v="Los Planes"/>
    <m/>
    <n v="65"/>
    <m/>
    <m/>
    <n v="65"/>
  </r>
  <r>
    <x v="73"/>
    <x v="73"/>
    <x v="5"/>
    <n v="386"/>
    <n v="43866"/>
    <s v="MIÉRCOLES"/>
    <s v="Las Grietas"/>
    <m/>
    <n v="35"/>
    <m/>
    <m/>
    <n v="35"/>
  </r>
  <r>
    <x v="65"/>
    <x v="65"/>
    <x v="5"/>
    <n v="387"/>
    <n v="43867"/>
    <s v="JUEVES"/>
    <s v="Solferina"/>
    <m/>
    <n v="65"/>
    <m/>
    <m/>
    <n v="65"/>
  </r>
  <r>
    <x v="74"/>
    <x v="74"/>
    <x v="5"/>
    <n v="388"/>
    <n v="43867"/>
    <s v="JUEVES"/>
    <s v="Las Grietas"/>
    <m/>
    <n v="35"/>
    <m/>
    <m/>
    <n v="35"/>
  </r>
  <r>
    <x v="75"/>
    <x v="75"/>
    <x v="5"/>
    <n v="389"/>
    <n v="43868"/>
    <s v="VIERNES"/>
    <s v="Solferina"/>
    <m/>
    <n v="65"/>
    <m/>
    <m/>
    <n v="65"/>
  </r>
  <r>
    <x v="59"/>
    <x v="59"/>
    <x v="5"/>
    <n v="390"/>
    <n v="43868"/>
    <s v="VIERNES"/>
    <s v="Solferina"/>
    <m/>
    <n v="65"/>
    <m/>
    <m/>
    <n v="65"/>
  </r>
  <r>
    <x v="67"/>
    <x v="67"/>
    <x v="5"/>
    <n v="391"/>
    <n v="43868"/>
    <s v="VIERNES"/>
    <s v="Solferina"/>
    <m/>
    <n v="65"/>
    <m/>
    <m/>
    <n v="65"/>
  </r>
  <r>
    <x v="53"/>
    <x v="53"/>
    <x v="5"/>
    <n v="392"/>
    <n v="43868"/>
    <s v="VIERNES"/>
    <s v="Solferina"/>
    <m/>
    <n v="65"/>
    <m/>
    <m/>
    <n v="65"/>
  </r>
  <r>
    <x v="61"/>
    <x v="61"/>
    <x v="5"/>
    <n v="393"/>
    <n v="43868"/>
    <s v="VIERNES"/>
    <s v="Las Grietas"/>
    <m/>
    <n v="35"/>
    <m/>
    <m/>
    <n v="35"/>
  </r>
  <r>
    <x v="62"/>
    <x v="62"/>
    <x v="5"/>
    <n v="394"/>
    <n v="43868"/>
    <s v="VIERNES"/>
    <s v="Las Grietas"/>
    <m/>
    <n v="35"/>
    <m/>
    <m/>
    <n v="35"/>
  </r>
  <r>
    <x v="63"/>
    <x v="63"/>
    <x v="5"/>
    <n v="395"/>
    <n v="43868"/>
    <s v="VIERNES"/>
    <s v="Carlota"/>
    <m/>
    <n v="35"/>
    <m/>
    <m/>
    <n v="35"/>
  </r>
  <r>
    <x v="76"/>
    <x v="76"/>
    <x v="1"/>
    <n v="396"/>
    <n v="43855"/>
    <s v="SÁBADO"/>
    <s v="Yerama"/>
    <m/>
    <n v="35"/>
    <m/>
    <m/>
    <n v="35"/>
  </r>
  <r>
    <x v="77"/>
    <x v="77"/>
    <x v="1"/>
    <n v="397"/>
    <n v="43855"/>
    <s v="SÁBADO"/>
    <s v="Malpaisillo"/>
    <m/>
    <n v="65"/>
    <m/>
    <m/>
    <n v="65"/>
  </r>
  <r>
    <x v="78"/>
    <x v="78"/>
    <x v="1"/>
    <n v="398"/>
    <n v="43855"/>
    <s v="SÁBADO"/>
    <s v="Malpaisillo"/>
    <m/>
    <n v="65"/>
    <m/>
    <m/>
    <n v="65"/>
  </r>
  <r>
    <x v="47"/>
    <x v="47"/>
    <x v="1"/>
    <n v="399"/>
    <n v="43855"/>
    <s v="SÁBADO"/>
    <s v="Olocoton"/>
    <m/>
    <n v="65"/>
    <m/>
    <m/>
    <n v="65"/>
  </r>
  <r>
    <x v="77"/>
    <x v="77"/>
    <x v="1"/>
    <n v="400"/>
    <n v="43856"/>
    <s v="DOMINGO"/>
    <s v="Malpaisillo"/>
    <m/>
    <n v="65"/>
    <m/>
    <m/>
    <n v="65"/>
  </r>
  <r>
    <x v="78"/>
    <x v="78"/>
    <x v="1"/>
    <n v="401"/>
    <n v="43856"/>
    <s v="DOMINGO"/>
    <s v="La India"/>
    <m/>
    <n v="35"/>
    <m/>
    <m/>
    <n v="35"/>
  </r>
  <r>
    <x v="76"/>
    <x v="76"/>
    <x v="1"/>
    <n v="402"/>
    <n v="43858"/>
    <s v="MARTES"/>
    <s v="Yerama"/>
    <m/>
    <n v="35"/>
    <m/>
    <m/>
    <n v="35"/>
  </r>
  <r>
    <x v="79"/>
    <x v="79"/>
    <x v="6"/>
    <n v="403"/>
    <n v="43858"/>
    <s v="MARTES"/>
    <s v="Yerama"/>
    <m/>
    <n v="35"/>
    <m/>
    <m/>
    <n v="35"/>
  </r>
  <r>
    <x v="76"/>
    <x v="76"/>
    <x v="1"/>
    <n v="404"/>
    <n v="43859"/>
    <s v="MIÉRCOLES"/>
    <s v="Yerama"/>
    <m/>
    <n v="35"/>
    <m/>
    <m/>
    <n v="35"/>
  </r>
  <r>
    <x v="79"/>
    <x v="79"/>
    <x v="6"/>
    <n v="405"/>
    <n v="43859"/>
    <s v="MIÉRCOLES"/>
    <s v="Yerama"/>
    <m/>
    <n v="35"/>
    <m/>
    <m/>
    <n v="35"/>
  </r>
  <r>
    <x v="80"/>
    <x v="80"/>
    <x v="6"/>
    <n v="406"/>
    <n v="43859"/>
    <s v="MIÉRCOLES"/>
    <s v="Trocha Nueva"/>
    <m/>
    <n v="35"/>
    <m/>
    <m/>
    <n v="35"/>
  </r>
  <r>
    <x v="47"/>
    <x v="47"/>
    <x v="1"/>
    <n v="407"/>
    <n v="43859"/>
    <s v="MIÉRCOLES"/>
    <s v="Malpaisillo"/>
    <m/>
    <n v="65"/>
    <m/>
    <m/>
    <n v="65"/>
  </r>
  <r>
    <x v="46"/>
    <x v="46"/>
    <x v="1"/>
    <n v="408"/>
    <n v="43859"/>
    <s v="MIÉRCOLES"/>
    <s v="Malpaisillo"/>
    <m/>
    <n v="65"/>
    <m/>
    <m/>
    <n v="65"/>
  </r>
  <r>
    <x v="76"/>
    <x v="76"/>
    <x v="1"/>
    <n v="409"/>
    <n v="43860"/>
    <s v="JUEVES"/>
    <s v="Yerama"/>
    <m/>
    <n v="35"/>
    <m/>
    <m/>
    <n v="35"/>
  </r>
  <r>
    <x v="79"/>
    <x v="79"/>
    <x v="6"/>
    <n v="410"/>
    <n v="43860"/>
    <s v="JUEVES"/>
    <s v="Yerama"/>
    <m/>
    <n v="35"/>
    <m/>
    <m/>
    <n v="35"/>
  </r>
  <r>
    <x v="47"/>
    <x v="47"/>
    <x v="1"/>
    <n v="411"/>
    <n v="43860"/>
    <s v="JUEVES"/>
    <s v="Malpaisillo"/>
    <m/>
    <n v="65"/>
    <m/>
    <m/>
    <n v="65"/>
  </r>
  <r>
    <x v="46"/>
    <x v="46"/>
    <x v="1"/>
    <n v="412"/>
    <n v="43860"/>
    <s v="JUEVES"/>
    <s v="Malpaisillo"/>
    <m/>
    <n v="65"/>
    <m/>
    <m/>
    <n v="65"/>
  </r>
  <r>
    <x v="76"/>
    <x v="76"/>
    <x v="1"/>
    <n v="413"/>
    <n v="43861"/>
    <s v="VIERNES"/>
    <s v="Yerama"/>
    <m/>
    <n v="35"/>
    <m/>
    <m/>
    <n v="35"/>
  </r>
  <r>
    <x v="76"/>
    <x v="76"/>
    <x v="1"/>
    <n v="414"/>
    <n v="43862"/>
    <s v="SÁBADO"/>
    <s v="Yerama"/>
    <m/>
    <n v="35"/>
    <m/>
    <m/>
    <n v="35"/>
  </r>
  <r>
    <x v="79"/>
    <x v="79"/>
    <x v="6"/>
    <n v="415"/>
    <n v="43862"/>
    <s v="SÁBADO"/>
    <s v="Yerama"/>
    <m/>
    <n v="35"/>
    <m/>
    <m/>
    <n v="35"/>
  </r>
  <r>
    <x v="78"/>
    <x v="78"/>
    <x v="1"/>
    <n v="416"/>
    <n v="43863"/>
    <s v="DOMINGO"/>
    <s v="Yerama"/>
    <m/>
    <n v="35"/>
    <m/>
    <m/>
    <n v="35"/>
  </r>
  <r>
    <x v="47"/>
    <x v="47"/>
    <x v="1"/>
    <n v="417"/>
    <n v="43863"/>
    <s v="DOMINGO"/>
    <s v="Solferina"/>
    <m/>
    <n v="65"/>
    <m/>
    <m/>
    <n v="65"/>
  </r>
  <r>
    <x v="81"/>
    <x v="81"/>
    <x v="1"/>
    <n v="418"/>
    <n v="43865"/>
    <s v="MARTES"/>
    <s v="Solferina"/>
    <m/>
    <n v="65"/>
    <m/>
    <m/>
    <n v="65"/>
  </r>
  <r>
    <x v="76"/>
    <x v="76"/>
    <x v="1"/>
    <n v="419"/>
    <n v="43866"/>
    <s v="MIÉRCOLES"/>
    <s v="Yerama"/>
    <m/>
    <n v="35"/>
    <m/>
    <m/>
    <n v="35"/>
  </r>
  <r>
    <x v="79"/>
    <x v="79"/>
    <x v="6"/>
    <n v="420"/>
    <n v="43866"/>
    <s v="MIÉRCOLES"/>
    <s v="Yerama"/>
    <m/>
    <n v="35"/>
    <m/>
    <m/>
    <n v="35"/>
  </r>
  <r>
    <x v="47"/>
    <x v="47"/>
    <x v="1"/>
    <n v="421"/>
    <n v="43866"/>
    <s v="MIÉRCOLES"/>
    <s v="Los Planes"/>
    <m/>
    <n v="65"/>
    <m/>
    <m/>
    <n v="65"/>
  </r>
  <r>
    <x v="46"/>
    <x v="46"/>
    <x v="1"/>
    <n v="422"/>
    <n v="43866"/>
    <s v="MIÉRCOLES"/>
    <s v="Santa Celia"/>
    <m/>
    <n v="35"/>
    <m/>
    <m/>
    <n v="35"/>
  </r>
  <r>
    <x v="76"/>
    <x v="76"/>
    <x v="1"/>
    <n v="423"/>
    <n v="43867"/>
    <s v="JUEVES"/>
    <s v="Yerama"/>
    <m/>
    <n v="35"/>
    <m/>
    <m/>
    <n v="35"/>
  </r>
  <r>
    <x v="76"/>
    <x v="76"/>
    <x v="1"/>
    <n v="424"/>
    <n v="43868"/>
    <s v="VIERNES"/>
    <s v="Yerama"/>
    <m/>
    <n v="35"/>
    <m/>
    <m/>
    <n v="35"/>
  </r>
  <r>
    <x v="79"/>
    <x v="79"/>
    <x v="6"/>
    <n v="425"/>
    <n v="43868"/>
    <s v="VIERNES"/>
    <s v="Yerama"/>
    <m/>
    <n v="35"/>
    <m/>
    <m/>
    <n v="35"/>
  </r>
  <r>
    <x v="30"/>
    <x v="30"/>
    <x v="4"/>
    <n v="1"/>
    <m/>
    <s v="SÁBADO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4" cacheId="121" applyNumberFormats="0" applyBorderFormats="0" applyFontFormats="0" applyPatternFormats="0" applyAlignmentFormats="0" applyWidthHeightFormats="1" dataCaption="Valores" grandTotalCaption="Total C$" updatedVersion="6" minRefreshableVersion="3" useAutoFormatting="1" itemPrintTitles="1" createdVersion="6" indent="0" compact="0" compactData="0" multipleFieldFilters="0">
  <location ref="R8:U91" firstHeaderRow="0" firstDataRow="1" firstDataCol="2"/>
  <pivotFields count="14">
    <pivotField axis="axisRow" compact="0" outline="0" showAll="0" defaultSubtotal="0">
      <items count="296">
        <item m="1" x="191"/>
        <item m="1" x="119"/>
        <item m="1" x="235"/>
        <item m="1" x="206"/>
        <item m="1" x="154"/>
        <item m="1" x="104"/>
        <item m="1" x="133"/>
        <item m="1" x="112"/>
        <item m="1" x="143"/>
        <item m="1" x="127"/>
        <item m="1" x="268"/>
        <item m="1" x="285"/>
        <item m="1" x="96"/>
        <item m="1" x="220"/>
        <item m="1" x="100"/>
        <item m="1" x="201"/>
        <item m="1" x="162"/>
        <item m="1" x="199"/>
        <item m="1" x="218"/>
        <item m="1" x="273"/>
        <item m="1" x="234"/>
        <item m="1" x="211"/>
        <item m="1" x="165"/>
        <item m="1" x="265"/>
        <item m="1" x="247"/>
        <item m="1" x="158"/>
        <item m="1" x="137"/>
        <item m="1" x="193"/>
        <item m="1" x="253"/>
        <item m="1" x="212"/>
        <item m="1" x="244"/>
        <item m="1" x="170"/>
        <item m="1" x="194"/>
        <item m="1" x="286"/>
        <item m="1" x="198"/>
        <item m="1" x="215"/>
        <item m="1" x="294"/>
        <item m="1" x="182"/>
        <item m="1" x="280"/>
        <item m="1" x="138"/>
        <item m="1" x="210"/>
        <item m="1" x="230"/>
        <item m="1" x="281"/>
        <item m="1" x="258"/>
        <item m="1" x="92"/>
        <item m="1" x="228"/>
        <item m="1" x="240"/>
        <item m="1" x="161"/>
        <item m="1" x="287"/>
        <item m="1" x="283"/>
        <item m="1" x="223"/>
        <item m="1" x="116"/>
        <item m="1" x="94"/>
        <item m="1" x="171"/>
        <item m="1" x="169"/>
        <item m="1" x="123"/>
        <item m="1" x="105"/>
        <item m="1" x="86"/>
        <item m="1" x="186"/>
        <item m="1" x="284"/>
        <item m="1" x="149"/>
        <item m="1" x="225"/>
        <item m="1" x="207"/>
        <item m="1" x="156"/>
        <item m="1" x="179"/>
        <item m="1" x="221"/>
        <item m="1" x="181"/>
        <item m="1" x="87"/>
        <item m="1" x="204"/>
        <item m="1" x="219"/>
        <item m="1" x="141"/>
        <item m="1" x="288"/>
        <item m="1" x="222"/>
        <item m="1" x="214"/>
        <item m="1" x="173"/>
        <item m="1" x="216"/>
        <item m="1" x="130"/>
        <item m="1" x="84"/>
        <item m="1" x="266"/>
        <item m="1" x="189"/>
        <item m="1" x="236"/>
        <item m="1" x="274"/>
        <item m="1" x="252"/>
        <item m="1" x="113"/>
        <item m="1" x="152"/>
        <item m="1" x="89"/>
        <item m="1" x="202"/>
        <item m="1" x="203"/>
        <item m="1" x="227"/>
        <item m="1" x="282"/>
        <item m="1" x="251"/>
        <item m="1" x="151"/>
        <item m="1" x="99"/>
        <item m="1" x="132"/>
        <item m="1" x="145"/>
        <item m="1" x="271"/>
        <item m="1" x="231"/>
        <item m="1" x="209"/>
        <item m="1" x="163"/>
        <item m="1" x="197"/>
        <item m="1" x="174"/>
        <item m="1" x="176"/>
        <item m="1" x="135"/>
        <item m="1" x="153"/>
        <item m="1" x="144"/>
        <item m="1" x="155"/>
        <item m="1" x="101"/>
        <item m="1" x="91"/>
        <item m="1" x="140"/>
        <item m="1" x="196"/>
        <item m="1" x="205"/>
        <item m="1" x="254"/>
        <item m="1" x="164"/>
        <item m="1" x="217"/>
        <item m="1" x="213"/>
        <item m="1" x="90"/>
        <item m="1" x="277"/>
        <item m="1" x="178"/>
        <item m="1" x="167"/>
        <item m="1" x="289"/>
        <item m="1" x="88"/>
        <item m="1" x="102"/>
        <item m="1" x="109"/>
        <item m="1" x="187"/>
        <item m="1" x="233"/>
        <item m="1" x="249"/>
        <item m="1" x="83"/>
        <item m="1" x="261"/>
        <item m="1" x="150"/>
        <item m="1" x="263"/>
        <item m="1" x="139"/>
        <item m="1" x="107"/>
        <item m="1" x="248"/>
        <item m="1" x="257"/>
        <item m="1" x="136"/>
        <item m="1" x="93"/>
        <item m="1" x="146"/>
        <item m="1" x="232"/>
        <item x="11"/>
        <item x="10"/>
        <item x="12"/>
        <item x="21"/>
        <item x="2"/>
        <item x="47"/>
        <item x="29"/>
        <item x="19"/>
        <item m="1" x="262"/>
        <item m="1" x="166"/>
        <item x="6"/>
        <item x="30"/>
        <item m="1" x="245"/>
        <item x="27"/>
        <item m="1" x="243"/>
        <item m="1" x="82"/>
        <item m="1" x="124"/>
        <item m="1" x="226"/>
        <item m="1" x="260"/>
        <item m="1" x="142"/>
        <item m="1" x="159"/>
        <item m="1" x="184"/>
        <item m="1" x="111"/>
        <item m="1" x="290"/>
        <item m="1" x="229"/>
        <item m="1" x="256"/>
        <item m="1" x="103"/>
        <item m="1" x="131"/>
        <item x="24"/>
        <item m="1" x="118"/>
        <item m="1" x="275"/>
        <item x="60"/>
        <item m="1" x="115"/>
        <item m="1" x="264"/>
        <item m="1" x="200"/>
        <item m="1" x="190"/>
        <item m="1" x="180"/>
        <item m="1" x="148"/>
        <item x="71"/>
        <item m="1" x="108"/>
        <item m="1" x="208"/>
        <item m="1" x="114"/>
        <item x="76"/>
        <item m="1" x="98"/>
        <item m="1" x="259"/>
        <item m="1" x="134"/>
        <item m="1" x="269"/>
        <item m="1" x="255"/>
        <item m="1" x="279"/>
        <item x="8"/>
        <item x="41"/>
        <item m="1" x="160"/>
        <item m="1" x="267"/>
        <item x="31"/>
        <item x="15"/>
        <item x="46"/>
        <item m="1" x="185"/>
        <item m="1" x="147"/>
        <item x="32"/>
        <item m="1" x="270"/>
        <item m="1" x="128"/>
        <item x="18"/>
        <item x="13"/>
        <item m="1" x="175"/>
        <item x="3"/>
        <item m="1" x="250"/>
        <item x="4"/>
        <item m="1" x="192"/>
        <item x="78"/>
        <item m="1" x="276"/>
        <item m="1" x="237"/>
        <item m="1" x="110"/>
        <item m="1" x="129"/>
        <item m="1" x="122"/>
        <item m="1" x="278"/>
        <item x="9"/>
        <item m="1" x="172"/>
        <item m="1" x="97"/>
        <item m="1" x="291"/>
        <item m="1" x="126"/>
        <item x="44"/>
        <item m="1" x="295"/>
        <item x="81"/>
        <item m="1" x="238"/>
        <item m="1" x="195"/>
        <item m="1" x="177"/>
        <item m="1" x="125"/>
        <item x="20"/>
        <item x="14"/>
        <item m="1" x="224"/>
        <item m="1" x="183"/>
        <item m="1" x="106"/>
        <item m="1" x="242"/>
        <item m="1" x="239"/>
        <item m="1" x="241"/>
        <item m="1" x="95"/>
        <item m="1" x="117"/>
        <item m="1" x="292"/>
        <item m="1" x="188"/>
        <item m="1" x="120"/>
        <item m="1" x="246"/>
        <item x="42"/>
        <item x="77"/>
        <item x="0"/>
        <item x="28"/>
        <item x="22"/>
        <item m="1" x="157"/>
        <item m="1" x="272"/>
        <item x="66"/>
        <item x="17"/>
        <item x="23"/>
        <item x="45"/>
        <item x="34"/>
        <item x="64"/>
        <item x="25"/>
        <item x="26"/>
        <item x="63"/>
        <item x="40"/>
        <item x="1"/>
        <item m="1" x="293"/>
        <item x="33"/>
        <item x="16"/>
        <item x="62"/>
        <item x="7"/>
        <item x="36"/>
        <item x="37"/>
        <item x="38"/>
        <item x="5"/>
        <item m="1" x="168"/>
        <item x="35"/>
        <item x="39"/>
        <item x="43"/>
        <item m="1" x="85"/>
        <item m="1" x="121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</pivotField>
    <pivotField axis="axisRow" compact="0" outline="0" showAll="0">
      <items count="315">
        <item m="1" x="118"/>
        <item m="1" x="254"/>
        <item m="1" x="83"/>
        <item m="1" x="267"/>
        <item m="1" x="210"/>
        <item m="1" x="225"/>
        <item m="1" x="85"/>
        <item m="1" x="110"/>
        <item m="1" x="255"/>
        <item m="1" x="272"/>
        <item m="1" x="283"/>
        <item m="1" x="292"/>
        <item m="1" x="304"/>
        <item m="1" x="281"/>
        <item m="1" x="294"/>
        <item m="1" x="309"/>
        <item m="1" x="276"/>
        <item m="1" x="136"/>
        <item m="1" x="180"/>
        <item m="1" x="219"/>
        <item m="1" x="207"/>
        <item m="1" x="142"/>
        <item m="1" x="279"/>
        <item m="1" x="260"/>
        <item m="1" x="108"/>
        <item m="1" x="114"/>
        <item m="1" x="162"/>
        <item m="1" x="89"/>
        <item m="1" x="158"/>
        <item m="1" x="154"/>
        <item m="1" x="284"/>
        <item m="1" x="216"/>
        <item m="1" x="212"/>
        <item m="1" x="298"/>
        <item m="1" x="165"/>
        <item m="1" x="103"/>
        <item m="1" x="99"/>
        <item m="1" x="308"/>
        <item m="1" x="141"/>
        <item m="1" x="131"/>
        <item m="1" x="175"/>
        <item m="1" x="291"/>
        <item m="1" x="205"/>
        <item m="1" x="133"/>
        <item m="1" x="222"/>
        <item m="1" x="248"/>
        <item m="1" x="129"/>
        <item m="1" x="160"/>
        <item m="1" x="196"/>
        <item m="1" x="140"/>
        <item m="1" x="264"/>
        <item m="1" x="285"/>
        <item m="1" x="186"/>
        <item m="1" x="218"/>
        <item m="1" x="156"/>
        <item m="1" x="155"/>
        <item m="1" x="128"/>
        <item m="1" x="147"/>
        <item m="1" x="246"/>
        <item m="1" x="153"/>
        <item m="1" x="236"/>
        <item m="1" x="185"/>
        <item m="1" x="139"/>
        <item m="1" x="300"/>
        <item m="1" x="172"/>
        <item m="1" x="195"/>
        <item m="1" x="277"/>
        <item m="1" x="122"/>
        <item m="1" x="290"/>
        <item m="1" x="201"/>
        <item m="1" x="214"/>
        <item m="1" x="134"/>
        <item m="1" x="152"/>
        <item m="1" x="202"/>
        <item m="1" x="98"/>
        <item m="1" x="87"/>
        <item m="1" x="313"/>
        <item m="1" x="240"/>
        <item m="1" x="208"/>
        <item m="1" x="233"/>
        <item m="1" x="176"/>
        <item m="1" x="148"/>
        <item m="1" x="190"/>
        <item m="1" x="91"/>
        <item m="1" x="249"/>
        <item m="1" x="96"/>
        <item m="1" x="221"/>
        <item m="1" x="227"/>
        <item m="1" x="166"/>
        <item m="1" x="193"/>
        <item m="1" x="296"/>
        <item m="1" x="263"/>
        <item m="1" x="138"/>
        <item m="1" x="130"/>
        <item m="1" x="297"/>
        <item m="1" x="242"/>
        <item m="1" x="121"/>
        <item m="1" x="286"/>
        <item m="1" x="157"/>
        <item m="1" x="126"/>
        <item m="1" x="259"/>
        <item m="1" x="150"/>
        <item m="1" x="257"/>
        <item m="1" x="278"/>
        <item m="1" x="241"/>
        <item m="1" x="95"/>
        <item m="1" x="295"/>
        <item m="1" x="209"/>
        <item m="1" x="181"/>
        <item m="1" x="105"/>
        <item m="1" x="231"/>
        <item m="1" x="135"/>
        <item m="1" x="310"/>
        <item m="1" x="112"/>
        <item m="1" x="164"/>
        <item m="1" x="220"/>
        <item m="1" x="174"/>
        <item m="1" x="132"/>
        <item m="1" x="252"/>
        <item m="1" x="115"/>
        <item m="1" x="302"/>
        <item m="1" x="269"/>
        <item m="1" x="250"/>
        <item m="1" x="303"/>
        <item m="1" x="203"/>
        <item m="1" x="270"/>
        <item m="1" x="229"/>
        <item m="1" x="124"/>
        <item m="1" x="106"/>
        <item m="1" x="146"/>
        <item m="1" x="189"/>
        <item m="1" x="237"/>
        <item m="1" x="247"/>
        <item m="1" x="194"/>
        <item m="1" x="183"/>
        <item m="1" x="161"/>
        <item m="1" x="182"/>
        <item m="1" x="101"/>
        <item x="11"/>
        <item x="10"/>
        <item x="12"/>
        <item x="21"/>
        <item x="2"/>
        <item x="47"/>
        <item x="29"/>
        <item x="19"/>
        <item m="1" x="100"/>
        <item m="1" x="301"/>
        <item x="6"/>
        <item x="30"/>
        <item m="1" x="119"/>
        <item x="27"/>
        <item m="1" x="187"/>
        <item m="1" x="82"/>
        <item m="1" x="256"/>
        <item m="1" x="217"/>
        <item m="1" x="120"/>
        <item m="1" x="145"/>
        <item m="1" x="192"/>
        <item m="1" x="151"/>
        <item m="1" x="275"/>
        <item m="1" x="299"/>
        <item m="1" x="280"/>
        <item m="1" x="223"/>
        <item m="1" x="168"/>
        <item m="1" x="173"/>
        <item m="1" x="93"/>
        <item x="24"/>
        <item m="1" x="198"/>
        <item m="1" x="159"/>
        <item x="60"/>
        <item m="1" x="228"/>
        <item m="1" x="191"/>
        <item m="1" x="289"/>
        <item m="1" x="127"/>
        <item m="1" x="265"/>
        <item m="1" x="163"/>
        <item x="71"/>
        <item m="1" x="244"/>
        <item m="1" x="184"/>
        <item m="1" x="271"/>
        <item x="76"/>
        <item m="1" x="224"/>
        <item m="1" x="234"/>
        <item m="1" x="307"/>
        <item m="1" x="169"/>
        <item m="1" x="204"/>
        <item m="1" x="312"/>
        <item x="8"/>
        <item x="41"/>
        <item m="1" x="226"/>
        <item m="1" x="266"/>
        <item x="31"/>
        <item x="15"/>
        <item x="46"/>
        <item m="1" x="235"/>
        <item m="1" x="92"/>
        <item x="32"/>
        <item m="1" x="113"/>
        <item m="1" x="111"/>
        <item x="18"/>
        <item x="13"/>
        <item m="1" x="102"/>
        <item x="3"/>
        <item m="1" x="305"/>
        <item x="4"/>
        <item m="1" x="232"/>
        <item x="78"/>
        <item m="1" x="206"/>
        <item m="1" x="116"/>
        <item m="1" x="258"/>
        <item m="1" x="179"/>
        <item m="1" x="84"/>
        <item m="1" x="109"/>
        <item x="9"/>
        <item m="1" x="90"/>
        <item m="1" x="245"/>
        <item m="1" x="213"/>
        <item m="1" x="97"/>
        <item x="44"/>
        <item m="1" x="268"/>
        <item x="81"/>
        <item m="1" x="104"/>
        <item m="1" x="243"/>
        <item m="1" x="123"/>
        <item m="1" x="262"/>
        <item m="1" x="125"/>
        <item x="14"/>
        <item m="1" x="306"/>
        <item m="1" x="199"/>
        <item m="1" x="238"/>
        <item m="1" x="171"/>
        <item m="1" x="215"/>
        <item m="1" x="287"/>
        <item m="1" x="197"/>
        <item m="1" x="239"/>
        <item m="1" x="253"/>
        <item m="1" x="188"/>
        <item m="1" x="200"/>
        <item m="1" x="88"/>
        <item m="1" x="144"/>
        <item x="77"/>
        <item x="0"/>
        <item x="28"/>
        <item m="1" x="137"/>
        <item m="1" x="167"/>
        <item m="1" x="143"/>
        <item x="22"/>
        <item m="1" x="230"/>
        <item m="1" x="288"/>
        <item m="1" x="274"/>
        <item m="1" x="94"/>
        <item x="66"/>
        <item m="1" x="107"/>
        <item m="1" x="273"/>
        <item x="17"/>
        <item m="1" x="117"/>
        <item m="1" x="178"/>
        <item m="1" x="177"/>
        <item m="1" x="170"/>
        <item x="23"/>
        <item x="45"/>
        <item x="34"/>
        <item x="64"/>
        <item m="1" x="86"/>
        <item x="26"/>
        <item x="63"/>
        <item x="40"/>
        <item m="1" x="282"/>
        <item m="1" x="211"/>
        <item m="1" x="311"/>
        <item m="1" x="251"/>
        <item x="42"/>
        <item x="33"/>
        <item x="16"/>
        <item x="62"/>
        <item x="25"/>
        <item x="20"/>
        <item x="1"/>
        <item x="7"/>
        <item x="36"/>
        <item x="37"/>
        <item x="38"/>
        <item x="5"/>
        <item m="1" x="261"/>
        <item x="35"/>
        <item x="39"/>
        <item x="43"/>
        <item m="1" x="293"/>
        <item m="1" x="149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  <item t="default"/>
      </items>
    </pivotField>
    <pivotField compact="0" outline="0" showAll="0"/>
    <pivotField compact="0" outline="0" showAll="0"/>
    <pivotField dataField="1" compact="0" numFmtId="14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dataField="1" compact="0" outline="0" showAl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1"/>
  </rowFields>
  <rowItems count="83">
    <i>
      <x v="138"/>
      <x v="138"/>
    </i>
    <i>
      <x v="139"/>
      <x v="139"/>
    </i>
    <i>
      <x v="140"/>
      <x v="140"/>
    </i>
    <i>
      <x v="141"/>
      <x v="141"/>
    </i>
    <i>
      <x v="142"/>
      <x v="142"/>
    </i>
    <i>
      <x v="143"/>
      <x v="143"/>
    </i>
    <i>
      <x v="144"/>
      <x v="144"/>
    </i>
    <i>
      <x v="145"/>
      <x v="145"/>
    </i>
    <i>
      <x v="148"/>
      <x v="148"/>
    </i>
    <i>
      <x v="149"/>
      <x v="149"/>
    </i>
    <i>
      <x v="151"/>
      <x v="151"/>
    </i>
    <i>
      <x v="166"/>
      <x v="167"/>
    </i>
    <i>
      <x v="169"/>
      <x v="170"/>
    </i>
    <i>
      <x v="176"/>
      <x v="177"/>
    </i>
    <i>
      <x v="180"/>
      <x v="181"/>
    </i>
    <i>
      <x v="187"/>
      <x v="188"/>
    </i>
    <i>
      <x v="188"/>
      <x v="189"/>
    </i>
    <i>
      <x v="191"/>
      <x v="192"/>
    </i>
    <i>
      <x v="192"/>
      <x v="193"/>
    </i>
    <i>
      <x v="193"/>
      <x v="194"/>
    </i>
    <i>
      <x v="196"/>
      <x v="197"/>
    </i>
    <i>
      <x v="199"/>
      <x v="200"/>
    </i>
    <i>
      <x v="200"/>
      <x v="201"/>
    </i>
    <i>
      <x v="202"/>
      <x v="203"/>
    </i>
    <i>
      <x v="204"/>
      <x v="205"/>
    </i>
    <i>
      <x v="206"/>
      <x v="207"/>
    </i>
    <i>
      <x v="213"/>
      <x v="214"/>
    </i>
    <i>
      <x v="218"/>
      <x v="219"/>
    </i>
    <i>
      <x v="220"/>
      <x v="221"/>
    </i>
    <i>
      <x v="225"/>
      <x v="277"/>
    </i>
    <i>
      <x v="226"/>
      <x v="227"/>
    </i>
    <i>
      <x v="239"/>
      <x v="272"/>
    </i>
    <i>
      <x v="240"/>
      <x v="241"/>
    </i>
    <i>
      <x v="241"/>
      <x v="242"/>
    </i>
    <i>
      <x v="242"/>
      <x v="243"/>
    </i>
    <i>
      <x v="243"/>
      <x v="247"/>
    </i>
    <i>
      <x v="246"/>
      <x v="252"/>
    </i>
    <i>
      <x v="247"/>
      <x v="255"/>
    </i>
    <i>
      <x v="248"/>
      <x v="260"/>
    </i>
    <i>
      <x v="249"/>
      <x v="261"/>
    </i>
    <i>
      <x v="250"/>
      <x v="262"/>
    </i>
    <i>
      <x v="251"/>
      <x v="263"/>
    </i>
    <i>
      <x v="252"/>
      <x v="276"/>
    </i>
    <i>
      <x v="253"/>
      <x v="265"/>
    </i>
    <i>
      <x v="254"/>
      <x v="266"/>
    </i>
    <i>
      <x v="255"/>
      <x v="267"/>
    </i>
    <i>
      <x v="256"/>
      <x v="278"/>
    </i>
    <i>
      <x v="258"/>
      <x v="273"/>
    </i>
    <i>
      <x v="259"/>
      <x v="274"/>
    </i>
    <i>
      <x v="260"/>
      <x v="275"/>
    </i>
    <i>
      <x v="261"/>
      <x v="279"/>
    </i>
    <i>
      <x v="262"/>
      <x v="280"/>
    </i>
    <i>
      <x v="263"/>
      <x v="281"/>
    </i>
    <i>
      <x v="264"/>
      <x v="282"/>
    </i>
    <i>
      <x v="265"/>
      <x v="283"/>
    </i>
    <i>
      <x v="267"/>
      <x v="285"/>
    </i>
    <i>
      <x v="268"/>
      <x v="286"/>
    </i>
    <i>
      <x v="269"/>
      <x v="287"/>
    </i>
    <i>
      <x v="272"/>
      <x v="290"/>
    </i>
    <i>
      <x v="273"/>
      <x v="291"/>
    </i>
    <i>
      <x v="274"/>
      <x v="292"/>
    </i>
    <i>
      <x v="275"/>
      <x v="293"/>
    </i>
    <i>
      <x v="276"/>
      <x v="294"/>
    </i>
    <i>
      <x v="277"/>
      <x v="295"/>
    </i>
    <i>
      <x v="278"/>
      <x v="296"/>
    </i>
    <i>
      <x v="279"/>
      <x v="297"/>
    </i>
    <i>
      <x v="280"/>
      <x v="298"/>
    </i>
    <i>
      <x v="281"/>
      <x v="299"/>
    </i>
    <i>
      <x v="282"/>
      <x v="300"/>
    </i>
    <i>
      <x v="283"/>
      <x v="301"/>
    </i>
    <i>
      <x v="284"/>
      <x v="302"/>
    </i>
    <i>
      <x v="285"/>
      <x v="303"/>
    </i>
    <i>
      <x v="286"/>
      <x v="304"/>
    </i>
    <i>
      <x v="287"/>
      <x v="305"/>
    </i>
    <i>
      <x v="288"/>
      <x v="306"/>
    </i>
    <i>
      <x v="289"/>
      <x v="307"/>
    </i>
    <i>
      <x v="290"/>
      <x v="308"/>
    </i>
    <i>
      <x v="291"/>
      <x v="309"/>
    </i>
    <i>
      <x v="292"/>
      <x v="310"/>
    </i>
    <i>
      <x v="293"/>
      <x v="311"/>
    </i>
    <i>
      <x v="294"/>
      <x v="312"/>
    </i>
    <i>
      <x v="295"/>
      <x v="31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Fecha" fld="4" subtotal="count" baseField="0" baseItem="0"/>
    <dataField name="Suma de Total C$" fld="11" baseField="1" baseItem="0" numFmtId="165"/>
  </dataFields>
  <formats count="150">
    <format dxfId="167">
      <pivotArea outline="0" collapsedLevelsAreSubtotals="1" fieldPosition="0">
        <references count="2">
          <reference field="0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  <reference field="1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</reference>
        </references>
      </pivotArea>
    </format>
    <format dxfId="166">
      <pivotArea grandRow="1" outline="0" collapsedLevelsAreSubtotals="1" fieldPosition="0"/>
    </format>
    <format dxfId="165">
      <pivotArea dataOnly="0" labelOnly="1" outline="0" fieldPosition="0">
        <references count="1">
          <reference field="0" count="5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164">
      <pivotArea dataOnly="0" labelOnly="1" outline="0" fieldPosition="0">
        <references count="1">
          <reference field="0" count="16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163">
      <pivotArea dataOnly="0" labelOnly="1" grandRow="1" outline="0" fieldPosition="0"/>
    </format>
    <format dxfId="162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161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160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59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158">
      <pivotArea dataOnly="0" labelOnly="1" outline="0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157">
      <pivotArea dataOnly="0" labelOnly="1" outline="0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156">
      <pivotArea dataOnly="0" labelOnly="1" outline="0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155">
      <pivotArea dataOnly="0" labelOnly="1" outline="0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154">
      <pivotArea dataOnly="0" labelOnly="1" outline="0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153">
      <pivotArea dataOnly="0" labelOnly="1" outline="0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152">
      <pivotArea dataOnly="0" labelOnly="1" outline="0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151">
      <pivotArea dataOnly="0" labelOnly="1" outline="0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150">
      <pivotArea dataOnly="0" labelOnly="1" outline="0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147">
      <pivotArea dataOnly="0" labelOnly="1" outline="0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146">
      <pivotArea dataOnly="0" labelOnly="1" outline="0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145">
      <pivotArea dataOnly="0" labelOnly="1" outline="0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144">
      <pivotArea dataOnly="0" labelOnly="1" outline="0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143">
      <pivotArea dataOnly="0" labelOnly="1" outline="0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142">
      <pivotArea dataOnly="0" labelOnly="1" outline="0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141">
      <pivotArea dataOnly="0" labelOnly="1" outline="0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140">
      <pivotArea dataOnly="0" labelOnly="1" outline="0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139">
      <pivotArea dataOnly="0" labelOnly="1" outline="0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138">
      <pivotArea dataOnly="0" labelOnly="1" outline="0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137">
      <pivotArea dataOnly="0" labelOnly="1" outline="0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44"/>
          </reference>
          <reference field="1" count="1">
            <x v="54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130">
      <pivotArea dataOnly="0" labelOnly="1" outline="0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129">
      <pivotArea dataOnly="0" labelOnly="1" outline="0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127">
      <pivotArea dataOnly="0" labelOnly="1" outline="0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126">
      <pivotArea dataOnly="0" labelOnly="1" outline="0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125">
      <pivotArea dataOnly="0" labelOnly="1" outline="0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54"/>
          </reference>
          <reference field="1" count="1">
            <x v="55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55"/>
          </reference>
          <reference field="1" count="1">
            <x v="56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56"/>
          </reference>
          <reference field="1" count="1">
            <x v="57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57"/>
          </reference>
          <reference field="1" count="1">
            <x v="58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58"/>
          </reference>
          <reference field="1" count="1">
            <x v="59"/>
          </reference>
        </references>
      </pivotArea>
    </format>
    <format dxfId="117">
      <pivotArea dataOnly="0" labelOnly="1" outline="0" fieldPosition="0">
        <references count="2">
          <reference field="0" count="1" selected="0">
            <x v="59"/>
          </reference>
          <reference field="1" count="1">
            <x v="60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60"/>
          </reference>
          <reference field="1" count="1">
            <x v="61"/>
          </reference>
        </references>
      </pivotArea>
    </format>
    <format dxfId="115">
      <pivotArea dataOnly="0" labelOnly="1" outline="0" fieldPosition="0">
        <references count="2">
          <reference field="0" count="1" selected="0">
            <x v="61"/>
          </reference>
          <reference field="1" count="1">
            <x v="62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62"/>
          </reference>
          <reference field="1" count="1">
            <x v="63"/>
          </reference>
        </references>
      </pivotArea>
    </format>
    <format dxfId="113">
      <pivotArea dataOnly="0" labelOnly="1" outline="0" fieldPosition="0">
        <references count="2">
          <reference field="0" count="1" selected="0">
            <x v="63"/>
          </reference>
          <reference field="1" count="1">
            <x v="64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64"/>
          </reference>
          <reference field="1" count="1">
            <x v="65"/>
          </reference>
        </references>
      </pivotArea>
    </format>
    <format dxfId="111">
      <pivotArea dataOnly="0" labelOnly="1" outline="0" fieldPosition="0">
        <references count="2">
          <reference field="0" count="1" selected="0">
            <x v="65"/>
          </reference>
          <reference field="1" count="1">
            <x v="66"/>
          </reference>
        </references>
      </pivotArea>
    </format>
    <format dxfId="110">
      <pivotArea dataOnly="0" labelOnly="1" outline="0" fieldPosition="0">
        <references count="2">
          <reference field="0" count="1" selected="0">
            <x v="66"/>
          </reference>
          <reference field="1" count="1">
            <x v="67"/>
          </reference>
        </references>
      </pivotArea>
    </format>
    <format dxfId="109">
      <pivotArea dataOnly="0" labelOnly="1" outline="0" fieldPosition="0">
        <references count="2">
          <reference field="0" count="1" selected="0">
            <x v="67"/>
          </reference>
          <reference field="1" count="1">
            <x v="68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68"/>
          </reference>
          <reference field="1" count="1">
            <x v="69"/>
          </reference>
        </references>
      </pivotArea>
    </format>
    <format dxfId="107">
      <pivotArea dataOnly="0" labelOnly="1" outline="0" fieldPosition="0">
        <references count="2">
          <reference field="0" count="1" selected="0">
            <x v="69"/>
          </reference>
          <reference field="1" count="1">
            <x v="70"/>
          </reference>
        </references>
      </pivotArea>
    </format>
    <format dxfId="106">
      <pivotArea dataOnly="0" labelOnly="1" outline="0" fieldPosition="0">
        <references count="2">
          <reference field="0" count="1" selected="0">
            <x v="70"/>
          </reference>
          <reference field="1" count="1">
            <x v="71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71"/>
          </reference>
          <reference field="1" count="1">
            <x v="72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72"/>
          </reference>
          <reference field="1" count="1">
            <x v="73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73"/>
          </reference>
          <reference field="1" count="1">
            <x v="74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74"/>
          </reference>
          <reference field="1" count="1">
            <x v="75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75"/>
          </reference>
          <reference field="1" count="1">
            <x v="76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76"/>
          </reference>
          <reference field="1" count="1">
            <x v="77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77"/>
          </reference>
          <reference field="1" count="1">
            <x v="78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78"/>
          </reference>
          <reference field="1" count="1">
            <x v="79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79"/>
          </reference>
          <reference field="1" count="1">
            <x v="80"/>
          </reference>
        </references>
      </pivotArea>
    </format>
    <format dxfId="96">
      <pivotArea outline="0" collapsedLevelsAreSubtotals="1" fieldPosition="0">
        <references count="2">
          <reference field="0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  <reference field="1" count="66" selected="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</reference>
        </references>
      </pivotArea>
    </format>
    <format dxfId="95">
      <pivotArea grandRow="1" outline="0" collapsedLevelsAreSubtotals="1" fieldPosition="0"/>
    </format>
    <format dxfId="94">
      <pivotArea dataOnly="0" labelOnly="1" outline="0" fieldPosition="0">
        <references count="1">
          <reference field="0" count="50"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</reference>
        </references>
      </pivotArea>
    </format>
    <format dxfId="93">
      <pivotArea dataOnly="0" labelOnly="1" outline="0" fieldPosition="0">
        <references count="1">
          <reference field="0" count="16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92">
      <pivotArea dataOnly="0" labelOnly="1" grandRow="1" outline="0" fieldPosition="0"/>
    </format>
    <format dxfId="91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76">
      <pivotArea dataOnly="0" labelOnly="1" outline="0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75">
      <pivotArea dataOnly="0" labelOnly="1" outline="0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74">
      <pivotArea dataOnly="0" labelOnly="1" outline="0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73">
      <pivotArea dataOnly="0" labelOnly="1" outline="0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72">
      <pivotArea dataOnly="0" labelOnly="1" outline="0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71">
      <pivotArea dataOnly="0" labelOnly="1" outline="0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70">
      <pivotArea dataOnly="0" labelOnly="1" outline="0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68">
      <pivotArea dataOnly="0" labelOnly="1" outline="0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67">
      <pivotArea dataOnly="0" labelOnly="1" outline="0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44"/>
          </reference>
          <reference field="1" count="1">
            <x v="54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58">
      <pivotArea dataOnly="0" labelOnly="1" outline="0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57">
      <pivotArea dataOnly="0" labelOnly="1" outline="0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6">
      <pivotArea dataOnly="0" labelOnly="1" outline="0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55">
      <pivotArea dataOnly="0" labelOnly="1" outline="0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54">
      <pivotArea dataOnly="0" labelOnly="1" outline="0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53">
      <pivotArea dataOnly="0" labelOnly="1" outline="0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54"/>
          </reference>
          <reference field="1" count="1">
            <x v="55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55"/>
          </reference>
          <reference field="1" count="1">
            <x v="56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56"/>
          </reference>
          <reference field="1" count="1">
            <x v="57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57"/>
          </reference>
          <reference field="1" count="1">
            <x v="58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58"/>
          </reference>
          <reference field="1" count="1">
            <x v="59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59"/>
          </reference>
          <reference field="1" count="1">
            <x v="60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60"/>
          </reference>
          <reference field="1" count="1">
            <x v="61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61"/>
          </reference>
          <reference field="1" count="1">
            <x v="62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62"/>
          </reference>
          <reference field="1" count="1">
            <x v="63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63"/>
          </reference>
          <reference field="1" count="1">
            <x v="64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64"/>
          </reference>
          <reference field="1" count="1">
            <x v="65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65"/>
          </reference>
          <reference field="1" count="1">
            <x v="66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66"/>
          </reference>
          <reference field="1" count="1">
            <x v="67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67"/>
          </reference>
          <reference field="1" count="1">
            <x v="68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8"/>
          </reference>
          <reference field="1" count="1">
            <x v="69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69"/>
          </reference>
          <reference field="1" count="1">
            <x v="70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70"/>
          </reference>
          <reference field="1" count="1">
            <x v="71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71"/>
          </reference>
          <reference field="1" count="1">
            <x v="72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72"/>
          </reference>
          <reference field="1" count="1">
            <x v="73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73"/>
          </reference>
          <reference field="1" count="1">
            <x v="74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74"/>
          </reference>
          <reference field="1" count="1">
            <x v="75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75"/>
          </reference>
          <reference field="1" count="1">
            <x v="76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76"/>
          </reference>
          <reference field="1" count="1">
            <x v="77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77"/>
          </reference>
          <reference field="1" count="1">
            <x v="78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78"/>
          </reference>
          <reference field="1" count="1">
            <x v="79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79"/>
          </reference>
          <reference field="1" count="1">
            <x v="80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">
      <pivotArea dataOnly="0" labelOnly="1" grandRow="1" outline="0" fieldPosition="0"/>
    </format>
    <format dxfId="18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" cacheId="1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Codigo">
  <location ref="O10:U93" firstHeaderRow="0" firstDataRow="1" firstDataCol="3"/>
  <pivotFields count="14">
    <pivotField axis="axisRow" compact="0" outline="0" subtotalTop="0" showAll="0" defaultSubtotal="0">
      <items count="296">
        <item m="1" x="146"/>
        <item m="1" x="284"/>
        <item m="1" x="95"/>
        <item m="1" x="191"/>
        <item m="1" x="134"/>
        <item m="1" x="187"/>
        <item m="1" x="147"/>
        <item m="1" x="206"/>
        <item m="1" x="119"/>
        <item m="1" x="211"/>
        <item m="1" x="150"/>
        <item m="1" x="196"/>
        <item m="1" x="127"/>
        <item m="1" x="178"/>
        <item m="1" x="104"/>
        <item m="1" x="135"/>
        <item m="1" x="154"/>
        <item m="1" x="266"/>
        <item m="1" x="207"/>
        <item m="1" x="225"/>
        <item m="1" x="86"/>
        <item m="1" x="140"/>
        <item m="1" x="163"/>
        <item m="1" x="120"/>
        <item m="1" x="141"/>
        <item m="1" x="262"/>
        <item m="1" x="246"/>
        <item m="1" x="192"/>
        <item m="1" x="172"/>
        <item x="30"/>
        <item m="1" x="128"/>
        <item x="31"/>
        <item x="12"/>
        <item m="1" x="252"/>
        <item m="1" x="257"/>
        <item m="1" x="285"/>
        <item m="1" x="96"/>
        <item m="1" x="197"/>
        <item x="2"/>
        <item m="1" x="239"/>
        <item m="1" x="101"/>
        <item m="1" x="131"/>
        <item x="10"/>
        <item m="1" x="259"/>
        <item m="1" x="280"/>
        <item m="1" x="167"/>
        <item m="1" x="229"/>
        <item m="1" x="216"/>
        <item m="1" x="243"/>
        <item x="60"/>
        <item m="1" x="111"/>
        <item m="1" x="184"/>
        <item m="1" x="275"/>
        <item m="1" x="164"/>
        <item x="47"/>
        <item x="14"/>
        <item x="23"/>
        <item m="1" x="226"/>
        <item m="1" x="276"/>
        <item m="1" x="117"/>
        <item m="1" x="142"/>
        <item m="1" x="188"/>
        <item m="1" x="208"/>
        <item m="1" x="122"/>
        <item m="1" x="129"/>
        <item x="41"/>
        <item m="1" x="292"/>
        <item m="1" x="155"/>
        <item m="1" x="201"/>
        <item m="1" x="267"/>
        <item m="1" x="137"/>
        <item m="1" x="112"/>
        <item m="1" x="87"/>
        <item m="1" x="143"/>
        <item m="1" x="165"/>
        <item m="1" x="209"/>
        <item m="1" x="90"/>
        <item m="1" x="193"/>
        <item m="1" x="151"/>
        <item m="1" x="152"/>
        <item m="1" x="156"/>
        <item m="1" x="179"/>
        <item m="1" x="271"/>
        <item m="1" x="113"/>
        <item m="1" x="138"/>
        <item m="1" x="162"/>
        <item m="1" x="253"/>
        <item m="1" x="88"/>
        <item m="1" x="144"/>
        <item m="1" x="210"/>
        <item m="1" x="230"/>
        <item m="1" x="281"/>
        <item m="1" x="91"/>
        <item m="1" x="169"/>
        <item m="1" x="212"/>
        <item m="1" x="258"/>
        <item m="1" x="97"/>
        <item m="1" x="214"/>
        <item m="1" x="288"/>
        <item m="1" x="99"/>
        <item x="64"/>
        <item m="1" x="263"/>
        <item m="1" x="153"/>
        <item m="1" x="244"/>
        <item m="1" x="170"/>
        <item m="1" x="194"/>
        <item m="1" x="286"/>
        <item m="1" x="123"/>
        <item m="1" x="198"/>
        <item m="1" x="215"/>
        <item m="1" x="289"/>
        <item m="1" x="176"/>
        <item m="1" x="132"/>
        <item x="77"/>
        <item m="1" x="265"/>
        <item m="1" x="105"/>
        <item m="1" x="136"/>
        <item m="1" x="247"/>
        <item m="1" x="294"/>
        <item m="1" x="158"/>
        <item m="1" x="181"/>
        <item m="1" x="221"/>
        <item m="1" x="106"/>
        <item m="1" x="148"/>
        <item m="1" x="290"/>
        <item m="1" x="182"/>
        <item m="1" x="189"/>
        <item m="1" x="231"/>
        <item m="1" x="124"/>
        <item m="1" x="237"/>
        <item m="1" x="260"/>
        <item x="29"/>
        <item x="19"/>
        <item x="76"/>
        <item x="36"/>
        <item m="1" x="159"/>
        <item x="34"/>
        <item m="1" x="82"/>
        <item m="1" x="185"/>
        <item m="1" x="145"/>
        <item x="27"/>
        <item m="1" x="272"/>
        <item m="1" x="227"/>
        <item m="1" x="92"/>
        <item m="1" x="98"/>
        <item m="1" x="228"/>
        <item m="1" x="217"/>
        <item m="1" x="173"/>
        <item m="1" x="282"/>
        <item m="1" x="83"/>
        <item m="1" x="89"/>
        <item m="1" x="203"/>
        <item m="1" x="240"/>
        <item x="32"/>
        <item x="6"/>
        <item x="11"/>
        <item x="9"/>
        <item m="1" x="235"/>
        <item m="1" x="174"/>
        <item m="1" x="199"/>
        <item m="1" x="218"/>
        <item m="1" x="102"/>
        <item m="1" x="232"/>
        <item m="1" x="255"/>
        <item m="1" x="93"/>
        <item m="1" x="149"/>
        <item m="1" x="236"/>
        <item x="28"/>
        <item m="1" x="219"/>
        <item m="1" x="233"/>
        <item m="1" x="160"/>
        <item m="1" x="204"/>
        <item m="1" x="222"/>
        <item m="1" x="273"/>
        <item m="1" x="256"/>
        <item m="1" x="177"/>
        <item m="1" x="133"/>
        <item x="7"/>
        <item x="20"/>
        <item m="1" x="245"/>
        <item x="63"/>
        <item m="1" x="114"/>
        <item m="1" x="220"/>
        <item m="1" x="248"/>
        <item m="1" x="268"/>
        <item m="1" x="295"/>
        <item m="1" x="107"/>
        <item m="1" x="161"/>
        <item m="1" x="249"/>
        <item x="42"/>
        <item m="1" x="130"/>
        <item m="1" x="157"/>
        <item m="1" x="287"/>
        <item x="24"/>
        <item x="40"/>
        <item m="1" x="250"/>
        <item m="1" x="254"/>
        <item m="1" x="277"/>
        <item x="15"/>
        <item m="1" x="100"/>
        <item m="1" x="213"/>
        <item m="1" x="108"/>
        <item m="1" x="202"/>
        <item m="1" x="115"/>
        <item x="22"/>
        <item m="1" x="261"/>
        <item m="1" x="166"/>
        <item x="18"/>
        <item m="1" x="234"/>
        <item m="1" x="283"/>
        <item m="1" x="94"/>
        <item m="1" x="109"/>
        <item m="1" x="205"/>
        <item m="1" x="223"/>
        <item m="1" x="251"/>
        <item m="1" x="274"/>
        <item m="1" x="84"/>
        <item m="1" x="116"/>
        <item m="1" x="139"/>
        <item m="1" x="186"/>
        <item m="1" x="180"/>
        <item m="1" x="269"/>
        <item m="1" x="110"/>
        <item m="1" x="171"/>
        <item m="1" x="241"/>
        <item x="71"/>
        <item m="1" x="278"/>
        <item x="78"/>
        <item m="1" x="190"/>
        <item x="21"/>
        <item m="1" x="118"/>
        <item x="0"/>
        <item m="1" x="125"/>
        <item m="1" x="200"/>
        <item m="1" x="242"/>
        <item m="1" x="264"/>
        <item m="1" x="103"/>
        <item m="1" x="195"/>
        <item x="46"/>
        <item m="1" x="175"/>
        <item x="66"/>
        <item m="1" x="183"/>
        <item m="1" x="224"/>
        <item x="13"/>
        <item x="8"/>
        <item m="1" x="270"/>
        <item m="1" x="279"/>
        <item x="3"/>
        <item x="17"/>
        <item x="4"/>
        <item m="1" x="291"/>
        <item m="1" x="126"/>
        <item x="81"/>
        <item x="44"/>
        <item m="1" x="238"/>
        <item m="1" x="293"/>
        <item x="45"/>
        <item x="1"/>
        <item x="26"/>
        <item x="33"/>
        <item x="25"/>
        <item x="62"/>
        <item x="37"/>
        <item x="38"/>
        <item x="16"/>
        <item x="5"/>
        <item m="1" x="168"/>
        <item x="35"/>
        <item x="39"/>
        <item x="43"/>
        <item m="1" x="85"/>
        <item m="1" x="121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14">
        <item m="1" x="82"/>
        <item x="71"/>
        <item m="1" x="103"/>
        <item m="1" x="162"/>
        <item m="1" x="269"/>
        <item m="1" x="279"/>
        <item x="22"/>
        <item x="21"/>
        <item m="1" x="239"/>
        <item m="1" x="245"/>
        <item m="1" x="263"/>
        <item m="1" x="217"/>
        <item m="1" x="95"/>
        <item m="1" x="85"/>
        <item x="36"/>
        <item m="1" x="265"/>
        <item m="1" x="86"/>
        <item x="25"/>
        <item x="6"/>
        <item m="1" x="177"/>
        <item x="27"/>
        <item m="1" x="170"/>
        <item m="1" x="118"/>
        <item m="1" x="106"/>
        <item m="1" x="267"/>
        <item m="1" x="281"/>
        <item m="1" x="123"/>
        <item m="1" x="101"/>
        <item x="1"/>
        <item m="1" x="211"/>
        <item m="1" x="157"/>
        <item m="1" x="271"/>
        <item m="1" x="266"/>
        <item x="7"/>
        <item m="1" x="187"/>
        <item m="1" x="172"/>
        <item m="1" x="194"/>
        <item m="1" x="272"/>
        <item m="1" x="223"/>
        <item m="1" x="310"/>
        <item m="1" x="169"/>
        <item m="1" x="292"/>
        <item m="1" x="227"/>
        <item m="1" x="214"/>
        <item m="1" x="171"/>
        <item x="47"/>
        <item m="1" x="93"/>
        <item m="1" x="304"/>
        <item m="1" x="206"/>
        <item m="1" x="97"/>
        <item m="1" x="246"/>
        <item m="1" x="290"/>
        <item m="1" x="84"/>
        <item m="1" x="297"/>
        <item m="1" x="210"/>
        <item m="1" x="168"/>
        <item m="1" x="202"/>
        <item m="1" x="100"/>
        <item m="1" x="109"/>
        <item x="34"/>
        <item m="1" x="129"/>
        <item m="1" x="231"/>
        <item x="38"/>
        <item m="1" x="161"/>
        <item m="1" x="262"/>
        <item m="1" x="302"/>
        <item m="1" x="91"/>
        <item x="8"/>
        <item m="1" x="137"/>
        <item m="1" x="190"/>
        <item m="1" x="259"/>
        <item m="1" x="243"/>
        <item x="9"/>
        <item m="1" x="167"/>
        <item m="1" x="174"/>
        <item m="1" x="308"/>
        <item m="1" x="140"/>
        <item m="1" x="96"/>
        <item x="63"/>
        <item m="1" x="175"/>
        <item m="1" x="235"/>
        <item x="77"/>
        <item x="23"/>
        <item x="81"/>
        <item x="10"/>
        <item m="1" x="107"/>
        <item m="1" x="305"/>
        <item x="29"/>
        <item m="1" x="282"/>
        <item m="1" x="195"/>
        <item x="2"/>
        <item m="1" x="216"/>
        <item m="1" x="192"/>
        <item m="1" x="164"/>
        <item x="0"/>
        <item x="78"/>
        <item m="1" x="291"/>
        <item m="1" x="277"/>
        <item m="1" x="284"/>
        <item m="1" x="132"/>
        <item x="16"/>
        <item m="1" x="180"/>
        <item m="1" x="237"/>
        <item x="33"/>
        <item x="28"/>
        <item m="1" x="179"/>
        <item m="1" x="205"/>
        <item m="1" x="163"/>
        <item m="1" x="181"/>
        <item m="1" x="98"/>
        <item m="1" x="220"/>
        <item m="1" x="203"/>
        <item m="1" x="212"/>
        <item m="1" x="120"/>
        <item m="1" x="257"/>
        <item m="1" x="224"/>
        <item m="1" x="306"/>
        <item m="1" x="199"/>
        <item m="1" x="309"/>
        <item x="41"/>
        <item m="1" x="89"/>
        <item m="1" x="191"/>
        <item m="1" x="201"/>
        <item m="1" x="115"/>
        <item m="1" x="121"/>
        <item m="1" x="248"/>
        <item m="1" x="288"/>
        <item m="1" x="299"/>
        <item m="1" x="184"/>
        <item m="1" x="90"/>
        <item m="1" x="141"/>
        <item x="17"/>
        <item m="1" x="146"/>
        <item m="1" x="119"/>
        <item m="1" x="108"/>
        <item m="1" x="256"/>
        <item m="1" x="218"/>
        <item m="1" x="232"/>
        <item m="1" x="148"/>
        <item x="46"/>
        <item m="1" x="151"/>
        <item m="1" x="188"/>
        <item x="11"/>
        <item m="1" x="143"/>
        <item x="3"/>
        <item m="1" x="193"/>
        <item x="62"/>
        <item x="42"/>
        <item m="1" x="144"/>
        <item m="1" x="270"/>
        <item m="1" x="268"/>
        <item m="1" x="258"/>
        <item m="1" x="240"/>
        <item m="1" x="159"/>
        <item m="1" x="145"/>
        <item m="1" x="189"/>
        <item m="1" x="244"/>
        <item m="1" x="155"/>
        <item x="40"/>
        <item x="24"/>
        <item m="1" x="102"/>
        <item m="1" x="287"/>
        <item x="4"/>
        <item x="30"/>
        <item m="1" x="117"/>
        <item m="1" x="156"/>
        <item m="1" x="298"/>
        <item m="1" x="303"/>
        <item m="1" x="142"/>
        <item x="15"/>
        <item m="1" x="104"/>
        <item x="44"/>
        <item x="12"/>
        <item m="1" x="273"/>
        <item m="1" x="92"/>
        <item x="13"/>
        <item m="1" x="274"/>
        <item m="1" x="185"/>
        <item m="1" x="200"/>
        <item m="1" x="300"/>
        <item m="1" x="122"/>
        <item m="1" x="152"/>
        <item m="1" x="153"/>
        <item x="37"/>
        <item m="1" x="249"/>
        <item m="1" x="207"/>
        <item m="1" x="139"/>
        <item m="1" x="87"/>
        <item m="1" x="229"/>
        <item m="1" x="131"/>
        <item m="1" x="112"/>
        <item m="1" x="236"/>
        <item m="1" x="130"/>
        <item m="1" x="124"/>
        <item m="1" x="110"/>
        <item m="1" x="250"/>
        <item m="1" x="99"/>
        <item m="1" x="276"/>
        <item m="1" x="226"/>
        <item m="1" x="295"/>
        <item m="1" x="233"/>
        <item m="1" x="150"/>
        <item m="1" x="285"/>
        <item m="1" x="113"/>
        <item m="1" x="289"/>
        <item m="1" x="219"/>
        <item m="1" x="313"/>
        <item m="1" x="286"/>
        <item m="1" x="138"/>
        <item m="1" x="234"/>
        <item m="1" x="136"/>
        <item m="1" x="294"/>
        <item m="1" x="228"/>
        <item m="1" x="275"/>
        <item m="1" x="296"/>
        <item m="1" x="182"/>
        <item m="1" x="127"/>
        <item m="1" x="225"/>
        <item m="1" x="255"/>
        <item m="1" x="307"/>
        <item m="1" x="301"/>
        <item m="1" x="154"/>
        <item m="1" x="283"/>
        <item m="1" x="94"/>
        <item x="64"/>
        <item x="14"/>
        <item m="1" x="230"/>
        <item m="1" x="196"/>
        <item m="1" x="173"/>
        <item m="1" x="242"/>
        <item m="1" x="254"/>
        <item m="1" x="128"/>
        <item m="1" x="213"/>
        <item x="60"/>
        <item m="1" x="134"/>
        <item m="1" x="238"/>
        <item m="1" x="105"/>
        <item m="1" x="264"/>
        <item x="18"/>
        <item x="66"/>
        <item m="1" x="176"/>
        <item m="1" x="247"/>
        <item m="1" x="166"/>
        <item x="45"/>
        <item m="1" x="253"/>
        <item m="1" x="221"/>
        <item m="1" x="204"/>
        <item x="31"/>
        <item m="1" x="178"/>
        <item m="1" x="260"/>
        <item m="1" x="280"/>
        <item m="1" x="197"/>
        <item m="1" x="126"/>
        <item m="1" x="88"/>
        <item m="1" x="208"/>
        <item m="1" x="215"/>
        <item m="1" x="312"/>
        <item x="19"/>
        <item m="1" x="252"/>
        <item m="1" x="114"/>
        <item m="1" x="135"/>
        <item m="1" x="133"/>
        <item m="1" x="251"/>
        <item m="1" x="198"/>
        <item m="1" x="209"/>
        <item m="1" x="165"/>
        <item m="1" x="160"/>
        <item m="1" x="111"/>
        <item m="1" x="158"/>
        <item x="26"/>
        <item m="1" x="125"/>
        <item m="1" x="147"/>
        <item m="1" x="183"/>
        <item x="20"/>
        <item m="1" x="311"/>
        <item m="1" x="116"/>
        <item m="1" x="241"/>
        <item m="1" x="186"/>
        <item x="32"/>
        <item x="76"/>
        <item m="1" x="278"/>
        <item m="1" x="222"/>
        <item m="1" x="83"/>
        <item x="5"/>
        <item m="1" x="261"/>
        <item x="35"/>
        <item x="39"/>
        <item x="43"/>
        <item m="1" x="293"/>
        <item m="1" x="149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5"/>
        <item x="67"/>
        <item x="68"/>
        <item x="69"/>
        <item x="70"/>
        <item x="72"/>
        <item x="73"/>
        <item x="74"/>
        <item x="75"/>
        <item x="79"/>
        <item x="80"/>
      </items>
    </pivotField>
    <pivotField axis="axisRow" showAll="0">
      <items count="9">
        <item x="0"/>
        <item x="5"/>
        <item x="1"/>
        <item x="3"/>
        <item x="2"/>
        <item x="4"/>
        <item m="1" x="7"/>
        <item x="6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3">
    <field x="0"/>
    <field x="1"/>
    <field x="2"/>
  </rowFields>
  <rowItems count="83">
    <i>
      <x v="29"/>
      <x v="163"/>
      <x v="5"/>
    </i>
    <i>
      <x v="31"/>
      <x v="247"/>
      <x v="4"/>
    </i>
    <i>
      <x v="32"/>
      <x v="172"/>
      <x v="4"/>
    </i>
    <i>
      <x v="38"/>
      <x v="90"/>
      <x v="2"/>
    </i>
    <i>
      <x v="42"/>
      <x v="84"/>
      <x v="3"/>
    </i>
    <i>
      <x v="49"/>
      <x v="233"/>
      <x v="1"/>
    </i>
    <i>
      <x v="54"/>
      <x v="45"/>
      <x v="2"/>
    </i>
    <i>
      <x v="55"/>
      <x v="225"/>
      <x v="3"/>
    </i>
    <i>
      <x v="56"/>
      <x v="82"/>
      <x v="1"/>
    </i>
    <i>
      <x v="65"/>
      <x v="119"/>
      <x v="2"/>
    </i>
    <i>
      <x v="100"/>
      <x v="224"/>
      <x v="1"/>
    </i>
    <i>
      <x v="113"/>
      <x v="81"/>
      <x v="2"/>
    </i>
    <i>
      <x v="131"/>
      <x v="87"/>
      <x v="3"/>
    </i>
    <i>
      <x v="132"/>
      <x v="257"/>
      <x v="4"/>
    </i>
    <i>
      <x v="133"/>
      <x v="279"/>
      <x v="2"/>
    </i>
    <i>
      <x v="134"/>
      <x v="14"/>
      <x v="2"/>
    </i>
    <i>
      <x v="136"/>
      <x v="59"/>
      <x v="2"/>
    </i>
    <i>
      <x v="140"/>
      <x v="20"/>
      <x v="3"/>
    </i>
    <i>
      <x v="153"/>
      <x v="278"/>
      <x v="4"/>
    </i>
    <i>
      <x v="154"/>
      <x v="18"/>
      <x v="4"/>
    </i>
    <i>
      <x v="155"/>
      <x v="142"/>
      <x v="3"/>
    </i>
    <i>
      <x v="156"/>
      <x v="72"/>
      <x v="3"/>
    </i>
    <i>
      <x v="167"/>
      <x v="104"/>
      <x v="1"/>
    </i>
    <i>
      <x v="177"/>
      <x v="33"/>
      <x v="3"/>
    </i>
    <i>
      <x v="178"/>
      <x v="273"/>
      <x v="2"/>
    </i>
    <i>
      <x v="180"/>
      <x v="78"/>
      <x v="1"/>
    </i>
    <i>
      <x v="189"/>
      <x v="147"/>
      <x v="3"/>
    </i>
    <i>
      <x v="193"/>
      <x v="159"/>
      <x v="1"/>
    </i>
    <i>
      <x v="194"/>
      <x v="158"/>
      <x v="2"/>
    </i>
    <i>
      <x v="198"/>
      <x v="169"/>
      <x v="5"/>
    </i>
    <i>
      <x v="204"/>
      <x v="6"/>
      <x v="1"/>
    </i>
    <i>
      <x v="207"/>
      <x v="238"/>
      <x v="5"/>
    </i>
    <i>
      <x v="225"/>
      <x v="1"/>
      <x v="1"/>
    </i>
    <i>
      <x v="227"/>
      <x v="95"/>
      <x v="2"/>
    </i>
    <i>
      <x v="229"/>
      <x v="7"/>
      <x/>
    </i>
    <i>
      <x v="231"/>
      <x v="94"/>
      <x/>
    </i>
    <i>
      <x v="238"/>
      <x v="139"/>
      <x v="2"/>
    </i>
    <i>
      <x v="240"/>
      <x v="239"/>
      <x v="1"/>
    </i>
    <i>
      <x v="243"/>
      <x v="175"/>
      <x v="5"/>
    </i>
    <i>
      <x v="244"/>
      <x v="67"/>
      <x v="4"/>
    </i>
    <i>
      <x v="247"/>
      <x v="144"/>
      <x v="2"/>
    </i>
    <i>
      <x v="248"/>
      <x v="131"/>
      <x v="2"/>
    </i>
    <i>
      <x v="249"/>
      <x v="162"/>
      <x v="2"/>
    </i>
    <i>
      <x v="252"/>
      <x v="83"/>
      <x v="2"/>
    </i>
    <i>
      <x v="253"/>
      <x v="171"/>
      <x v="2"/>
    </i>
    <i>
      <x v="256"/>
      <x v="243"/>
      <x v="2"/>
    </i>
    <i>
      <x v="257"/>
      <x v="28"/>
      <x v="2"/>
    </i>
    <i>
      <x v="258"/>
      <x v="269"/>
      <x v="2"/>
    </i>
    <i>
      <x v="259"/>
      <x v="103"/>
      <x v="2"/>
    </i>
    <i>
      <x v="260"/>
      <x v="17"/>
      <x v="2"/>
    </i>
    <i>
      <x v="261"/>
      <x v="146"/>
      <x v="1"/>
    </i>
    <i>
      <x v="262"/>
      <x v="183"/>
      <x v="2"/>
    </i>
    <i>
      <x v="263"/>
      <x v="62"/>
      <x v="2"/>
    </i>
    <i>
      <x v="264"/>
      <x v="100"/>
      <x v="3"/>
    </i>
    <i>
      <x v="265"/>
      <x v="283"/>
      <x v="2"/>
    </i>
    <i>
      <x v="267"/>
      <x v="285"/>
      <x v="4"/>
    </i>
    <i>
      <x v="268"/>
      <x v="286"/>
      <x v="2"/>
    </i>
    <i>
      <x v="269"/>
      <x v="287"/>
      <x v="2"/>
    </i>
    <i>
      <x v="272"/>
      <x v="290"/>
      <x v="1"/>
    </i>
    <i>
      <x v="273"/>
      <x v="291"/>
      <x v="1"/>
    </i>
    <i>
      <x v="274"/>
      <x v="292"/>
      <x v="1"/>
    </i>
    <i>
      <x v="275"/>
      <x v="293"/>
      <x v="1"/>
    </i>
    <i>
      <x v="276"/>
      <x v="294"/>
      <x v="1"/>
    </i>
    <i>
      <x v="277"/>
      <x v="295"/>
      <x v="1"/>
    </i>
    <i>
      <x v="278"/>
      <x v="296"/>
      <x v="1"/>
    </i>
    <i>
      <x v="279"/>
      <x v="297"/>
      <x v="1"/>
    </i>
    <i>
      <x v="280"/>
      <x v="298"/>
      <x v="1"/>
    </i>
    <i>
      <x v="281"/>
      <x v="299"/>
      <x v="1"/>
    </i>
    <i>
      <x v="282"/>
      <x v="300"/>
      <x v="1"/>
    </i>
    <i>
      <x v="283"/>
      <x v="301"/>
      <x v="1"/>
    </i>
    <i>
      <x v="284"/>
      <x v="302"/>
      <x v="1"/>
    </i>
    <i>
      <x v="285"/>
      <x v="303"/>
      <x v="1"/>
    </i>
    <i>
      <x v="286"/>
      <x v="304"/>
      <x v="1"/>
    </i>
    <i>
      <x v="287"/>
      <x v="305"/>
      <x v="1"/>
    </i>
    <i>
      <x v="288"/>
      <x v="306"/>
      <x v="1"/>
    </i>
    <i>
      <x v="289"/>
      <x v="307"/>
      <x v="1"/>
    </i>
    <i>
      <x v="290"/>
      <x v="308"/>
      <x v="1"/>
    </i>
    <i>
      <x v="291"/>
      <x v="309"/>
      <x v="1"/>
    </i>
    <i>
      <x v="292"/>
      <x v="310"/>
      <x v="1"/>
    </i>
    <i>
      <x v="293"/>
      <x v="311"/>
      <x v="1"/>
    </i>
    <i>
      <x v="294"/>
      <x v="312"/>
      <x v="7"/>
    </i>
    <i>
      <x v="295"/>
      <x v="313"/>
      <x v="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as" fld="4" subtotal="count" baseField="0" baseItem="0"/>
    <dataField name="Alimentacion" fld="12" baseField="0" baseItem="0"/>
    <dataField name="_Transporte" fld="10" baseField="0" baseItem="0"/>
    <dataField name="Total" fld="13" baseField="0" baseItem="0"/>
  </dataFields>
  <formats count="8"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">
      <pivotArea outline="0" collapsedLevelsAreSubtotals="1" fieldPosition="0"/>
    </format>
    <format dxfId="15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4">
      <pivotArea dataOnly="0" outline="0" fieldPosition="0">
        <references count="1">
          <reference field="4294967294" count="1">
            <x v="3"/>
          </reference>
        </references>
      </pivotArea>
    </format>
    <format dxfId="13">
      <pivotArea dataOnly="0" outline="0" fieldPosition="0">
        <references count="1">
          <reference field="4294967294" count="1">
            <x v="0"/>
          </reference>
        </references>
      </pivotArea>
    </format>
    <format dxfId="12">
      <pivotArea field="1" type="button" dataOnly="0" labelOnly="1" outline="0" axis="axisRow" fieldPosition="1"/>
    </format>
    <format dxfId="11">
      <pivotArea field="2" type="button" dataOnly="0" labelOnly="1" outline="0" axis="axisRow" fieldPosition="2"/>
    </format>
    <format dxfId="10">
      <pivotArea dataOnly="0" labelOnly="1" grandRow="1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D219" totalsRowShown="0" headerRowDxfId="173" dataDxfId="172">
  <autoFilter ref="A1:D219" xr:uid="{00000000-0009-0000-0100-000002000000}"/>
  <tableColumns count="4">
    <tableColumn id="1" xr3:uid="{00000000-0010-0000-0000-000001000000}" name="COD-PERSONAL" dataDxfId="171"/>
    <tableColumn id="2" xr3:uid="{00000000-0010-0000-0000-000002000000}" name="OPERARIO" dataDxfId="170"/>
    <tableColumn id="3" xr3:uid="{00000000-0010-0000-0000-000003000000}" name="PUESTO IDEAL" dataDxfId="169"/>
    <tableColumn id="4" xr3:uid="{00000000-0010-0000-0000-000004000000}" name="Columna1" dataDxfId="168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2:L428" totalsRowShown="0" headerRowCellStyle="Salida" dataCellStyle="Salida">
  <tableColumns count="12">
    <tableColumn id="1" xr3:uid="{00000000-0010-0000-0100-000001000000}" name="Código:" dataCellStyle="Salida"/>
    <tableColumn id="2" xr3:uid="{00000000-0010-0000-0100-000002000000}" name="Nombre :" dataCellStyle="Salida">
      <calculatedColumnFormula>+IFERROR(VLOOKUP(A3,Tabla2[#Data],2,0),"")</calculatedColumnFormula>
    </tableColumn>
    <tableColumn id="3" xr3:uid="{00000000-0010-0000-0100-000003000000}" name="Posicion:" dataCellStyle="Salida">
      <calculatedColumnFormula>+IFERROR(VLOOKUP(A3,Tabla2[#Data],3,0),"")</calculatedColumnFormula>
    </tableColumn>
    <tableColumn id="4" xr3:uid="{00000000-0010-0000-0100-000004000000}" name="No." dataCellStyle="Salida"/>
    <tableColumn id="5" xr3:uid="{00000000-0010-0000-0100-000005000000}" name="Fecha" dataCellStyle="Salida"/>
    <tableColumn id="6" xr3:uid="{00000000-0010-0000-0100-000006000000}" name="Dia" dataCellStyle="Salida">
      <calculatedColumnFormula>+IFERROR(VLOOKUP(WEEKDAY(E3),Catalogo!$F$1:$G$7,2,0),"")</calculatedColumnFormula>
    </tableColumn>
    <tableColumn id="11" xr3:uid="{00000000-0010-0000-0100-00000B000000}" name="Ruta/Ubicación" dataCellStyle="Salida"/>
    <tableColumn id="12" xr3:uid="{00000000-0010-0000-0100-00000C000000}" name="Desayuno C$ 25" dataCellStyle="Salida"/>
    <tableColumn id="13" xr3:uid="{00000000-0010-0000-0100-00000D000000}" name="Almuerzo C$ 35" dataCellStyle="Salida"/>
    <tableColumn id="14" xr3:uid="{00000000-0010-0000-0100-00000E000000}" name="Cena C$ 30" dataCellStyle="Salida"/>
    <tableColumn id="15" xr3:uid="{00000000-0010-0000-0100-00000F000000}" name="Transporte" dataCellStyle="Salida"/>
    <tableColumn id="16" xr3:uid="{00000000-0010-0000-0100-000010000000}" name="Total C$" dataCellStyle="Salida">
      <calculatedColumnFormula>SUM(Tabla1[[#This Row],[Desayuno C$ 25]:[Transporte]])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0:H93" totalsRowShown="0" headerRowDxfId="9" dataDxfId="8" headerRowCellStyle="Normal 2">
  <autoFilter ref="A10:H93" xr:uid="{00000000-0009-0000-0100-000003000000}"/>
  <tableColumns count="8">
    <tableColumn id="1" xr3:uid="{00000000-0010-0000-0200-000001000000}" name="Nomina" dataDxfId="7" dataCellStyle="Normal 2">
      <calculatedColumnFormula>"N6"</calculatedColumnFormula>
    </tableColumn>
    <tableColumn id="2" xr3:uid="{00000000-0010-0000-0200-000002000000}" name="Codigo" dataDxfId="6"/>
    <tableColumn id="3" xr3:uid="{00000000-0010-0000-0200-000003000000}" name="Nombre :" dataDxfId="5"/>
    <tableColumn id="4" xr3:uid="{00000000-0010-0000-0200-000004000000}" name="Posicion:" dataDxfId="4"/>
    <tableColumn id="5" xr3:uid="{00000000-0010-0000-0200-000005000000}" name="Dias" dataDxfId="3"/>
    <tableColumn id="6" xr3:uid="{00000000-0010-0000-0200-000006000000}" name="Alimentacion" dataDxfId="2"/>
    <tableColumn id="7" xr3:uid="{00000000-0010-0000-0200-000007000000}" name="_Transporte" dataDxfId="1"/>
    <tableColumn id="8" xr3:uid="{00000000-0010-0000-0200-000008000000}" name="Total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theme="9"/>
  </sheetPr>
  <dimension ref="A1:G219"/>
  <sheetViews>
    <sheetView showGridLines="0" zoomScaleNormal="100" workbookViewId="0">
      <selection activeCell="D223" sqref="D223"/>
    </sheetView>
  </sheetViews>
  <sheetFormatPr baseColWidth="10" defaultColWidth="11.42578125" defaultRowHeight="15" x14ac:dyDescent="0.25"/>
  <cols>
    <col min="1" max="1" width="10.7109375" style="66" customWidth="1"/>
    <col min="2" max="2" width="41.42578125" style="66" bestFit="1" customWidth="1"/>
    <col min="3" max="3" width="28.140625" style="66" bestFit="1" customWidth="1"/>
    <col min="4" max="4" width="32.140625" style="66" bestFit="1" customWidth="1"/>
  </cols>
  <sheetData>
    <row r="1" spans="1:7" x14ac:dyDescent="0.25">
      <c r="A1" s="85" t="s">
        <v>34</v>
      </c>
      <c r="B1" s="86" t="s">
        <v>35</v>
      </c>
      <c r="C1" s="87" t="s">
        <v>36</v>
      </c>
      <c r="D1" s="66" t="s">
        <v>49</v>
      </c>
      <c r="F1" s="62">
        <v>1</v>
      </c>
      <c r="G1" s="62" t="s">
        <v>22</v>
      </c>
    </row>
    <row r="2" spans="1:7" ht="18" customHeight="1" x14ac:dyDescent="0.25">
      <c r="A2" s="78">
        <v>200190</v>
      </c>
      <c r="B2" s="78" t="s">
        <v>221</v>
      </c>
      <c r="C2" s="84" t="s">
        <v>276</v>
      </c>
      <c r="D2" s="78" t="s">
        <v>50</v>
      </c>
      <c r="F2" s="62">
        <v>2</v>
      </c>
      <c r="G2" s="62" t="s">
        <v>23</v>
      </c>
    </row>
    <row r="3" spans="1:7" ht="18" customHeight="1" x14ac:dyDescent="0.25">
      <c r="A3" s="78">
        <v>200431</v>
      </c>
      <c r="B3" s="78" t="s">
        <v>51</v>
      </c>
      <c r="C3" s="84" t="s">
        <v>277</v>
      </c>
      <c r="D3" s="78" t="s">
        <v>50</v>
      </c>
      <c r="F3" s="62">
        <v>3</v>
      </c>
      <c r="G3" s="62" t="s">
        <v>24</v>
      </c>
    </row>
    <row r="4" spans="1:7" ht="18" customHeight="1" x14ac:dyDescent="0.25">
      <c r="A4" s="78">
        <v>200543</v>
      </c>
      <c r="B4" s="78" t="s">
        <v>52</v>
      </c>
      <c r="C4" s="84" t="s">
        <v>276</v>
      </c>
      <c r="D4" s="78" t="s">
        <v>50</v>
      </c>
      <c r="F4" s="62">
        <v>4</v>
      </c>
      <c r="G4" s="62" t="s">
        <v>25</v>
      </c>
    </row>
    <row r="5" spans="1:7" ht="18" customHeight="1" x14ac:dyDescent="0.25">
      <c r="A5" s="78">
        <v>200609</v>
      </c>
      <c r="B5" s="78" t="s">
        <v>222</v>
      </c>
      <c r="C5" s="84" t="s">
        <v>278</v>
      </c>
      <c r="D5" s="78" t="s">
        <v>50</v>
      </c>
      <c r="F5" s="62">
        <v>5</v>
      </c>
      <c r="G5" s="62" t="s">
        <v>26</v>
      </c>
    </row>
    <row r="6" spans="1:7" ht="18" customHeight="1" x14ac:dyDescent="0.25">
      <c r="A6" s="78">
        <v>200723</v>
      </c>
      <c r="B6" s="78" t="s">
        <v>53</v>
      </c>
      <c r="C6" s="84" t="s">
        <v>276</v>
      </c>
      <c r="D6" s="78" t="s">
        <v>50</v>
      </c>
      <c r="F6" s="62">
        <v>6</v>
      </c>
      <c r="G6" s="62" t="s">
        <v>27</v>
      </c>
    </row>
    <row r="7" spans="1:7" ht="18" customHeight="1" x14ac:dyDescent="0.25">
      <c r="A7" s="78">
        <v>200750</v>
      </c>
      <c r="B7" s="78" t="s">
        <v>223</v>
      </c>
      <c r="C7" s="84" t="s">
        <v>279</v>
      </c>
      <c r="D7" s="78" t="s">
        <v>50</v>
      </c>
      <c r="F7" s="62">
        <v>7</v>
      </c>
      <c r="G7" s="62" t="s">
        <v>28</v>
      </c>
    </row>
    <row r="8" spans="1:7" ht="18" customHeight="1" x14ac:dyDescent="0.25">
      <c r="A8" s="78">
        <v>200751</v>
      </c>
      <c r="B8" s="78" t="s">
        <v>54</v>
      </c>
      <c r="C8" s="84" t="s">
        <v>280</v>
      </c>
      <c r="D8" s="78" t="s">
        <v>50</v>
      </c>
    </row>
    <row r="9" spans="1:7" ht="18" customHeight="1" x14ac:dyDescent="0.25">
      <c r="A9" s="78">
        <v>200781</v>
      </c>
      <c r="B9" s="78" t="s">
        <v>187</v>
      </c>
      <c r="C9" s="84" t="s">
        <v>277</v>
      </c>
      <c r="D9" s="78" t="s">
        <v>50</v>
      </c>
    </row>
    <row r="10" spans="1:7" ht="18" customHeight="1" x14ac:dyDescent="0.25">
      <c r="A10" s="78">
        <v>201033</v>
      </c>
      <c r="B10" s="78" t="s">
        <v>55</v>
      </c>
      <c r="C10" s="84" t="s">
        <v>277</v>
      </c>
      <c r="D10" s="78" t="s">
        <v>50</v>
      </c>
    </row>
    <row r="11" spans="1:7" ht="18" customHeight="1" x14ac:dyDescent="0.25">
      <c r="A11" s="78">
        <v>201130</v>
      </c>
      <c r="B11" s="78" t="s">
        <v>56</v>
      </c>
      <c r="C11" s="84" t="s">
        <v>277</v>
      </c>
      <c r="D11" s="78" t="s">
        <v>50</v>
      </c>
    </row>
    <row r="12" spans="1:7" ht="18" customHeight="1" x14ac:dyDescent="0.25">
      <c r="A12" s="78">
        <v>201200</v>
      </c>
      <c r="B12" s="78" t="s">
        <v>57</v>
      </c>
      <c r="C12" s="84" t="s">
        <v>280</v>
      </c>
      <c r="D12" s="78" t="s">
        <v>50</v>
      </c>
    </row>
    <row r="13" spans="1:7" ht="18" customHeight="1" x14ac:dyDescent="0.25">
      <c r="A13" s="78">
        <v>201430</v>
      </c>
      <c r="B13" s="78" t="s">
        <v>58</v>
      </c>
      <c r="C13" s="84" t="s">
        <v>276</v>
      </c>
      <c r="D13" s="78" t="s">
        <v>50</v>
      </c>
    </row>
    <row r="14" spans="1:7" ht="18" customHeight="1" x14ac:dyDescent="0.25">
      <c r="A14" s="78">
        <v>201471</v>
      </c>
      <c r="B14" s="78" t="s">
        <v>59</v>
      </c>
      <c r="C14" s="84" t="s">
        <v>278</v>
      </c>
      <c r="D14" s="78" t="s">
        <v>50</v>
      </c>
    </row>
    <row r="15" spans="1:7" ht="18" customHeight="1" x14ac:dyDescent="0.25">
      <c r="A15" s="78">
        <v>201496</v>
      </c>
      <c r="B15" s="78" t="s">
        <v>224</v>
      </c>
      <c r="C15" s="84" t="s">
        <v>281</v>
      </c>
      <c r="D15" s="78" t="s">
        <v>50</v>
      </c>
    </row>
    <row r="16" spans="1:7" ht="18" customHeight="1" x14ac:dyDescent="0.25">
      <c r="A16" s="78">
        <v>201500</v>
      </c>
      <c r="B16" s="78" t="s">
        <v>60</v>
      </c>
      <c r="C16" s="84" t="s">
        <v>278</v>
      </c>
      <c r="D16" s="78" t="s">
        <v>50</v>
      </c>
    </row>
    <row r="17" spans="1:4" ht="18" customHeight="1" x14ac:dyDescent="0.25">
      <c r="A17" s="78">
        <v>201515</v>
      </c>
      <c r="B17" s="78" t="s">
        <v>61</v>
      </c>
      <c r="C17" s="84" t="s">
        <v>278</v>
      </c>
      <c r="D17" s="78" t="s">
        <v>50</v>
      </c>
    </row>
    <row r="18" spans="1:4" ht="18" customHeight="1" x14ac:dyDescent="0.25">
      <c r="A18" s="78">
        <v>201675</v>
      </c>
      <c r="B18" s="78" t="s">
        <v>62</v>
      </c>
      <c r="C18" s="84" t="s">
        <v>278</v>
      </c>
      <c r="D18" s="78" t="s">
        <v>50</v>
      </c>
    </row>
    <row r="19" spans="1:4" ht="18" customHeight="1" x14ac:dyDescent="0.25">
      <c r="A19" s="78">
        <v>201809</v>
      </c>
      <c r="B19" s="78" t="s">
        <v>225</v>
      </c>
      <c r="C19" s="84" t="s">
        <v>282</v>
      </c>
      <c r="D19" s="78" t="s">
        <v>136</v>
      </c>
    </row>
    <row r="20" spans="1:4" ht="18" customHeight="1" x14ac:dyDescent="0.25">
      <c r="A20" s="78">
        <v>201832</v>
      </c>
      <c r="B20" s="78" t="s">
        <v>226</v>
      </c>
      <c r="C20" s="84" t="s">
        <v>280</v>
      </c>
      <c r="D20" s="78" t="s">
        <v>50</v>
      </c>
    </row>
    <row r="21" spans="1:4" ht="18" customHeight="1" x14ac:dyDescent="0.25">
      <c r="A21" s="78">
        <v>201835</v>
      </c>
      <c r="B21" s="78" t="s">
        <v>63</v>
      </c>
      <c r="C21" s="84" t="s">
        <v>278</v>
      </c>
      <c r="D21" s="78" t="s">
        <v>50</v>
      </c>
    </row>
    <row r="22" spans="1:4" ht="18" customHeight="1" x14ac:dyDescent="0.25">
      <c r="A22" s="78">
        <v>202098</v>
      </c>
      <c r="B22" s="78" t="s">
        <v>190</v>
      </c>
      <c r="C22" s="84" t="s">
        <v>277</v>
      </c>
      <c r="D22" s="78" t="s">
        <v>50</v>
      </c>
    </row>
    <row r="23" spans="1:4" ht="18" customHeight="1" x14ac:dyDescent="0.25">
      <c r="A23" s="78">
        <v>202102</v>
      </c>
      <c r="B23" s="78" t="s">
        <v>227</v>
      </c>
      <c r="C23" s="84" t="s">
        <v>283</v>
      </c>
      <c r="D23" s="78" t="s">
        <v>136</v>
      </c>
    </row>
    <row r="24" spans="1:4" ht="18" customHeight="1" x14ac:dyDescent="0.25">
      <c r="A24" s="78">
        <v>202110</v>
      </c>
      <c r="B24" s="78" t="s">
        <v>164</v>
      </c>
      <c r="C24" s="84" t="s">
        <v>277</v>
      </c>
      <c r="D24" s="78" t="s">
        <v>50</v>
      </c>
    </row>
    <row r="25" spans="1:4" ht="18" customHeight="1" x14ac:dyDescent="0.25">
      <c r="A25" s="78">
        <v>202113</v>
      </c>
      <c r="B25" s="78" t="s">
        <v>228</v>
      </c>
      <c r="C25" s="84" t="s">
        <v>284</v>
      </c>
      <c r="D25" s="78" t="s">
        <v>136</v>
      </c>
    </row>
    <row r="26" spans="1:4" ht="18" customHeight="1" x14ac:dyDescent="0.25">
      <c r="A26" s="78">
        <v>202118</v>
      </c>
      <c r="B26" s="78" t="s">
        <v>64</v>
      </c>
      <c r="C26" s="84" t="s">
        <v>277</v>
      </c>
      <c r="D26" s="78" t="s">
        <v>50</v>
      </c>
    </row>
    <row r="27" spans="1:4" ht="18" customHeight="1" x14ac:dyDescent="0.25">
      <c r="A27" s="78">
        <v>202120</v>
      </c>
      <c r="B27" s="78" t="s">
        <v>229</v>
      </c>
      <c r="C27" s="84" t="s">
        <v>283</v>
      </c>
      <c r="D27" s="78" t="s">
        <v>136</v>
      </c>
    </row>
    <row r="28" spans="1:4" ht="18" customHeight="1" x14ac:dyDescent="0.25">
      <c r="A28" s="78">
        <v>202121</v>
      </c>
      <c r="B28" s="78" t="s">
        <v>230</v>
      </c>
      <c r="C28" s="84" t="s">
        <v>283</v>
      </c>
      <c r="D28" s="78" t="s">
        <v>136</v>
      </c>
    </row>
    <row r="29" spans="1:4" ht="18" customHeight="1" x14ac:dyDescent="0.25">
      <c r="A29" s="78">
        <v>202191</v>
      </c>
      <c r="B29" s="78" t="s">
        <v>65</v>
      </c>
      <c r="C29" s="84" t="s">
        <v>280</v>
      </c>
      <c r="D29" s="78" t="s">
        <v>136</v>
      </c>
    </row>
    <row r="30" spans="1:4" ht="18" customHeight="1" x14ac:dyDescent="0.25">
      <c r="A30" s="78">
        <v>202192</v>
      </c>
      <c r="B30" s="78" t="s">
        <v>231</v>
      </c>
      <c r="C30" s="84" t="s">
        <v>285</v>
      </c>
      <c r="D30" s="78" t="s">
        <v>50</v>
      </c>
    </row>
    <row r="31" spans="1:4" ht="18" customHeight="1" x14ac:dyDescent="0.25">
      <c r="A31" s="78">
        <v>202193</v>
      </c>
      <c r="B31" s="78" t="s">
        <v>66</v>
      </c>
      <c r="C31" s="84" t="s">
        <v>277</v>
      </c>
      <c r="D31" s="78" t="s">
        <v>50</v>
      </c>
    </row>
    <row r="32" spans="1:4" ht="18" customHeight="1" x14ac:dyDescent="0.25">
      <c r="A32" s="78">
        <v>202197</v>
      </c>
      <c r="B32" s="78" t="s">
        <v>67</v>
      </c>
      <c r="C32" s="84" t="s">
        <v>277</v>
      </c>
      <c r="D32" s="78" t="s">
        <v>50</v>
      </c>
    </row>
    <row r="33" spans="1:4" ht="18" customHeight="1" x14ac:dyDescent="0.25">
      <c r="A33" s="78">
        <v>202280</v>
      </c>
      <c r="B33" s="78" t="s">
        <v>232</v>
      </c>
      <c r="C33" s="84" t="s">
        <v>282</v>
      </c>
      <c r="D33" s="78" t="s">
        <v>136</v>
      </c>
    </row>
    <row r="34" spans="1:4" ht="18" customHeight="1" x14ac:dyDescent="0.25">
      <c r="A34" s="78">
        <v>202327</v>
      </c>
      <c r="B34" s="78" t="s">
        <v>68</v>
      </c>
      <c r="C34" s="84" t="s">
        <v>277</v>
      </c>
      <c r="D34" s="78" t="s">
        <v>50</v>
      </c>
    </row>
    <row r="35" spans="1:4" ht="18" customHeight="1" x14ac:dyDescent="0.25">
      <c r="A35" s="78">
        <v>202468</v>
      </c>
      <c r="B35" s="78" t="s">
        <v>142</v>
      </c>
      <c r="C35" s="84" t="s">
        <v>277</v>
      </c>
      <c r="D35" s="78" t="s">
        <v>50</v>
      </c>
    </row>
    <row r="36" spans="1:4" ht="18" customHeight="1" x14ac:dyDescent="0.25">
      <c r="A36" s="78">
        <v>202734</v>
      </c>
      <c r="B36" s="78" t="s">
        <v>69</v>
      </c>
      <c r="C36" s="84" t="s">
        <v>277</v>
      </c>
      <c r="D36" s="78" t="s">
        <v>50</v>
      </c>
    </row>
    <row r="37" spans="1:4" ht="18" customHeight="1" x14ac:dyDescent="0.25">
      <c r="A37" s="78">
        <v>203338</v>
      </c>
      <c r="B37" s="78" t="s">
        <v>197</v>
      </c>
      <c r="C37" s="84" t="s">
        <v>277</v>
      </c>
      <c r="D37" s="78" t="s">
        <v>136</v>
      </c>
    </row>
    <row r="38" spans="1:4" ht="18" customHeight="1" x14ac:dyDescent="0.25">
      <c r="A38" s="78">
        <v>203339</v>
      </c>
      <c r="B38" s="78" t="s">
        <v>70</v>
      </c>
      <c r="C38" s="84" t="s">
        <v>277</v>
      </c>
      <c r="D38" s="78" t="s">
        <v>136</v>
      </c>
    </row>
    <row r="39" spans="1:4" ht="18" customHeight="1" x14ac:dyDescent="0.25">
      <c r="A39" s="78">
        <v>203359</v>
      </c>
      <c r="B39" s="78" t="s">
        <v>71</v>
      </c>
      <c r="C39" s="84" t="s">
        <v>277</v>
      </c>
      <c r="D39" s="78" t="s">
        <v>50</v>
      </c>
    </row>
    <row r="40" spans="1:4" ht="18" customHeight="1" x14ac:dyDescent="0.25">
      <c r="A40" s="78">
        <v>203362</v>
      </c>
      <c r="B40" s="78" t="s">
        <v>72</v>
      </c>
      <c r="C40" s="84" t="s">
        <v>277</v>
      </c>
      <c r="D40" s="78" t="s">
        <v>50</v>
      </c>
    </row>
    <row r="41" spans="1:4" ht="18" customHeight="1" x14ac:dyDescent="0.25">
      <c r="A41" s="78">
        <v>203363</v>
      </c>
      <c r="B41" s="78" t="s">
        <v>73</v>
      </c>
      <c r="C41" s="84" t="s">
        <v>277</v>
      </c>
      <c r="D41" s="78" t="s">
        <v>50</v>
      </c>
    </row>
    <row r="42" spans="1:4" ht="18" customHeight="1" x14ac:dyDescent="0.25">
      <c r="A42" s="78">
        <v>203366</v>
      </c>
      <c r="B42" s="78" t="s">
        <v>165</v>
      </c>
      <c r="C42" s="84" t="s">
        <v>277</v>
      </c>
      <c r="D42" s="78" t="s">
        <v>50</v>
      </c>
    </row>
    <row r="43" spans="1:4" ht="18" customHeight="1" x14ac:dyDescent="0.25">
      <c r="A43" s="78">
        <v>203374</v>
      </c>
      <c r="B43" s="78" t="s">
        <v>172</v>
      </c>
      <c r="C43" s="84" t="s">
        <v>277</v>
      </c>
      <c r="D43" s="78" t="s">
        <v>50</v>
      </c>
    </row>
    <row r="44" spans="1:4" ht="18" customHeight="1" x14ac:dyDescent="0.25">
      <c r="A44" s="78">
        <v>203376</v>
      </c>
      <c r="B44" s="78" t="s">
        <v>233</v>
      </c>
      <c r="C44" s="84" t="s">
        <v>286</v>
      </c>
      <c r="D44" s="78" t="s">
        <v>50</v>
      </c>
    </row>
    <row r="45" spans="1:4" ht="18" customHeight="1" x14ac:dyDescent="0.25">
      <c r="A45" s="78">
        <v>203379</v>
      </c>
      <c r="B45" s="78" t="s">
        <v>74</v>
      </c>
      <c r="C45" s="84" t="s">
        <v>277</v>
      </c>
      <c r="D45" s="78" t="s">
        <v>50</v>
      </c>
    </row>
    <row r="46" spans="1:4" ht="18" customHeight="1" x14ac:dyDescent="0.25">
      <c r="A46" s="78">
        <v>203383</v>
      </c>
      <c r="B46" s="78" t="s">
        <v>234</v>
      </c>
      <c r="C46" s="84" t="s">
        <v>282</v>
      </c>
      <c r="D46" s="78" t="s">
        <v>136</v>
      </c>
    </row>
    <row r="47" spans="1:4" ht="18" customHeight="1" x14ac:dyDescent="0.25">
      <c r="A47" s="78">
        <v>203385</v>
      </c>
      <c r="B47" s="78" t="s">
        <v>75</v>
      </c>
      <c r="C47" s="84" t="s">
        <v>277</v>
      </c>
      <c r="D47" s="78" t="s">
        <v>50</v>
      </c>
    </row>
    <row r="48" spans="1:4" ht="18" customHeight="1" x14ac:dyDescent="0.25">
      <c r="A48" s="78">
        <v>203388</v>
      </c>
      <c r="B48" s="78" t="s">
        <v>76</v>
      </c>
      <c r="C48" s="84" t="s">
        <v>278</v>
      </c>
      <c r="D48" s="78" t="s">
        <v>50</v>
      </c>
    </row>
    <row r="49" spans="1:4" ht="18" customHeight="1" x14ac:dyDescent="0.25">
      <c r="A49" s="78">
        <v>203391</v>
      </c>
      <c r="B49" s="78" t="s">
        <v>77</v>
      </c>
      <c r="C49" s="84" t="s">
        <v>280</v>
      </c>
      <c r="D49" s="78" t="s">
        <v>136</v>
      </c>
    </row>
    <row r="50" spans="1:4" ht="18" customHeight="1" x14ac:dyDescent="0.25">
      <c r="A50" s="78">
        <v>203394</v>
      </c>
      <c r="B50" s="78" t="s">
        <v>235</v>
      </c>
      <c r="C50" s="84" t="s">
        <v>282</v>
      </c>
      <c r="D50" s="78" t="s">
        <v>136</v>
      </c>
    </row>
    <row r="51" spans="1:4" ht="18" customHeight="1" x14ac:dyDescent="0.25">
      <c r="A51" s="78">
        <v>203416</v>
      </c>
      <c r="B51" s="78" t="s">
        <v>78</v>
      </c>
      <c r="C51" s="84" t="s">
        <v>280</v>
      </c>
      <c r="D51" s="78" t="s">
        <v>50</v>
      </c>
    </row>
    <row r="52" spans="1:4" ht="18" customHeight="1" x14ac:dyDescent="0.25">
      <c r="A52" s="78">
        <v>203428</v>
      </c>
      <c r="B52" s="78" t="s">
        <v>79</v>
      </c>
      <c r="C52" s="84" t="s">
        <v>277</v>
      </c>
      <c r="D52" s="78" t="s">
        <v>136</v>
      </c>
    </row>
    <row r="53" spans="1:4" ht="18" customHeight="1" x14ac:dyDescent="0.25">
      <c r="A53" s="78">
        <v>203437</v>
      </c>
      <c r="B53" s="78" t="s">
        <v>80</v>
      </c>
      <c r="C53" s="84" t="s">
        <v>280</v>
      </c>
      <c r="D53" s="78" t="s">
        <v>50</v>
      </c>
    </row>
    <row r="54" spans="1:4" ht="18" customHeight="1" x14ac:dyDescent="0.25">
      <c r="A54" s="78">
        <v>203439</v>
      </c>
      <c r="B54" s="78" t="s">
        <v>81</v>
      </c>
      <c r="C54" s="84" t="s">
        <v>281</v>
      </c>
      <c r="D54" s="78" t="s">
        <v>50</v>
      </c>
    </row>
    <row r="55" spans="1:4" ht="18" customHeight="1" x14ac:dyDescent="0.25">
      <c r="A55" s="78">
        <v>203440</v>
      </c>
      <c r="B55" s="78" t="s">
        <v>82</v>
      </c>
      <c r="C55" s="84" t="s">
        <v>278</v>
      </c>
      <c r="D55" s="78" t="s">
        <v>50</v>
      </c>
    </row>
    <row r="56" spans="1:4" ht="18" customHeight="1" x14ac:dyDescent="0.25">
      <c r="A56" s="78">
        <v>203442</v>
      </c>
      <c r="B56" s="78" t="s">
        <v>83</v>
      </c>
      <c r="C56" s="84" t="s">
        <v>278</v>
      </c>
      <c r="D56" s="78" t="s">
        <v>50</v>
      </c>
    </row>
    <row r="57" spans="1:4" ht="18" customHeight="1" x14ac:dyDescent="0.25">
      <c r="A57" s="78">
        <v>203445</v>
      </c>
      <c r="B57" s="78" t="s">
        <v>84</v>
      </c>
      <c r="C57" s="84" t="s">
        <v>278</v>
      </c>
      <c r="D57" s="78" t="s">
        <v>50</v>
      </c>
    </row>
    <row r="58" spans="1:4" ht="18" customHeight="1" x14ac:dyDescent="0.25">
      <c r="A58" s="78">
        <v>203446</v>
      </c>
      <c r="B58" s="78" t="s">
        <v>85</v>
      </c>
      <c r="C58" s="84" t="s">
        <v>278</v>
      </c>
      <c r="D58" s="78" t="s">
        <v>50</v>
      </c>
    </row>
    <row r="59" spans="1:4" ht="18" customHeight="1" x14ac:dyDescent="0.25">
      <c r="A59" s="78">
        <v>203447</v>
      </c>
      <c r="B59" s="78" t="s">
        <v>86</v>
      </c>
      <c r="C59" s="84" t="s">
        <v>278</v>
      </c>
      <c r="D59" s="78" t="s">
        <v>50</v>
      </c>
    </row>
    <row r="60" spans="1:4" ht="18" customHeight="1" x14ac:dyDescent="0.25">
      <c r="A60" s="78">
        <v>203453</v>
      </c>
      <c r="B60" s="78" t="s">
        <v>87</v>
      </c>
      <c r="C60" s="84" t="s">
        <v>278</v>
      </c>
      <c r="D60" s="78" t="s">
        <v>50</v>
      </c>
    </row>
    <row r="61" spans="1:4" ht="18" customHeight="1" x14ac:dyDescent="0.25">
      <c r="A61" s="78">
        <v>203454</v>
      </c>
      <c r="B61" s="78" t="s">
        <v>88</v>
      </c>
      <c r="C61" s="84" t="s">
        <v>278</v>
      </c>
      <c r="D61" s="78" t="s">
        <v>50</v>
      </c>
    </row>
    <row r="62" spans="1:4" ht="18" customHeight="1" x14ac:dyDescent="0.25">
      <c r="A62" s="78">
        <v>203458</v>
      </c>
      <c r="B62" s="78" t="s">
        <v>143</v>
      </c>
      <c r="C62" s="84" t="s">
        <v>278</v>
      </c>
      <c r="D62" s="78" t="s">
        <v>50</v>
      </c>
    </row>
    <row r="63" spans="1:4" ht="18" customHeight="1" x14ac:dyDescent="0.25">
      <c r="A63" s="78">
        <v>203460</v>
      </c>
      <c r="B63" s="78" t="s">
        <v>236</v>
      </c>
      <c r="C63" s="84" t="s">
        <v>278</v>
      </c>
      <c r="D63" s="78" t="s">
        <v>50</v>
      </c>
    </row>
    <row r="64" spans="1:4" ht="18" customHeight="1" x14ac:dyDescent="0.25">
      <c r="A64" s="78">
        <v>203463</v>
      </c>
      <c r="B64" s="78" t="s">
        <v>89</v>
      </c>
      <c r="C64" s="84" t="s">
        <v>278</v>
      </c>
      <c r="D64" s="78" t="s">
        <v>50</v>
      </c>
    </row>
    <row r="65" spans="1:4" ht="18" customHeight="1" x14ac:dyDescent="0.25">
      <c r="A65" s="78">
        <v>203464</v>
      </c>
      <c r="B65" s="78" t="s">
        <v>90</v>
      </c>
      <c r="C65" s="84" t="s">
        <v>278</v>
      </c>
      <c r="D65" s="78" t="s">
        <v>50</v>
      </c>
    </row>
    <row r="66" spans="1:4" ht="18" customHeight="1" x14ac:dyDescent="0.25">
      <c r="A66" s="78">
        <v>203465</v>
      </c>
      <c r="B66" s="78" t="s">
        <v>203</v>
      </c>
      <c r="C66" s="84" t="s">
        <v>278</v>
      </c>
      <c r="D66" s="78" t="s">
        <v>50</v>
      </c>
    </row>
    <row r="67" spans="1:4" ht="18" customHeight="1" x14ac:dyDescent="0.25">
      <c r="A67" s="78">
        <v>203469</v>
      </c>
      <c r="B67" s="78" t="s">
        <v>144</v>
      </c>
      <c r="C67" s="84" t="s">
        <v>280</v>
      </c>
      <c r="D67" s="78" t="s">
        <v>136</v>
      </c>
    </row>
    <row r="68" spans="1:4" ht="18" customHeight="1" x14ac:dyDescent="0.25">
      <c r="A68" s="78">
        <v>203472</v>
      </c>
      <c r="B68" s="78" t="s">
        <v>237</v>
      </c>
      <c r="C68" s="84" t="s">
        <v>281</v>
      </c>
      <c r="D68" s="78" t="s">
        <v>50</v>
      </c>
    </row>
    <row r="69" spans="1:4" ht="18" customHeight="1" x14ac:dyDescent="0.25">
      <c r="A69" s="78">
        <v>203474</v>
      </c>
      <c r="B69" s="78" t="s">
        <v>91</v>
      </c>
      <c r="C69" s="84" t="s">
        <v>278</v>
      </c>
      <c r="D69" s="78" t="s">
        <v>50</v>
      </c>
    </row>
    <row r="70" spans="1:4" ht="18" customHeight="1" x14ac:dyDescent="0.25">
      <c r="A70" s="78">
        <v>203475</v>
      </c>
      <c r="B70" s="78" t="s">
        <v>92</v>
      </c>
      <c r="C70" s="84" t="s">
        <v>278</v>
      </c>
      <c r="D70" s="78" t="s">
        <v>50</v>
      </c>
    </row>
    <row r="71" spans="1:4" ht="18" customHeight="1" x14ac:dyDescent="0.25">
      <c r="A71" s="78">
        <v>203477</v>
      </c>
      <c r="B71" s="78" t="s">
        <v>93</v>
      </c>
      <c r="C71" s="84" t="s">
        <v>278</v>
      </c>
      <c r="D71" s="78" t="s">
        <v>50</v>
      </c>
    </row>
    <row r="72" spans="1:4" ht="18" customHeight="1" x14ac:dyDescent="0.25">
      <c r="A72" s="78">
        <v>203478</v>
      </c>
      <c r="B72" s="78" t="s">
        <v>238</v>
      </c>
      <c r="C72" s="84" t="s">
        <v>278</v>
      </c>
      <c r="D72" s="78" t="s">
        <v>50</v>
      </c>
    </row>
    <row r="73" spans="1:4" ht="18" customHeight="1" x14ac:dyDescent="0.25">
      <c r="A73" s="78">
        <v>203481</v>
      </c>
      <c r="B73" s="78" t="s">
        <v>94</v>
      </c>
      <c r="C73" s="84" t="s">
        <v>278</v>
      </c>
      <c r="D73" s="78" t="s">
        <v>50</v>
      </c>
    </row>
    <row r="74" spans="1:4" ht="18" customHeight="1" x14ac:dyDescent="0.25">
      <c r="A74" s="78">
        <v>203482</v>
      </c>
      <c r="B74" s="78" t="s">
        <v>95</v>
      </c>
      <c r="C74" s="84" t="s">
        <v>278</v>
      </c>
      <c r="D74" s="78" t="s">
        <v>50</v>
      </c>
    </row>
    <row r="75" spans="1:4" ht="18" customHeight="1" x14ac:dyDescent="0.25">
      <c r="A75" s="78">
        <v>203484</v>
      </c>
      <c r="B75" s="78" t="s">
        <v>96</v>
      </c>
      <c r="C75" s="84" t="s">
        <v>278</v>
      </c>
      <c r="D75" s="78" t="s">
        <v>50</v>
      </c>
    </row>
    <row r="76" spans="1:4" ht="18" customHeight="1" x14ac:dyDescent="0.25">
      <c r="A76" s="78">
        <v>203495</v>
      </c>
      <c r="B76" s="78" t="s">
        <v>97</v>
      </c>
      <c r="C76" s="84" t="s">
        <v>278</v>
      </c>
      <c r="D76" s="78" t="s">
        <v>50</v>
      </c>
    </row>
    <row r="77" spans="1:4" ht="18" customHeight="1" x14ac:dyDescent="0.25">
      <c r="A77" s="78">
        <v>203547</v>
      </c>
      <c r="B77" s="78" t="s">
        <v>239</v>
      </c>
      <c r="C77" s="84" t="s">
        <v>285</v>
      </c>
      <c r="D77" s="78" t="s">
        <v>50</v>
      </c>
    </row>
    <row r="78" spans="1:4" ht="18" customHeight="1" x14ac:dyDescent="0.25">
      <c r="A78" s="78">
        <v>203593</v>
      </c>
      <c r="B78" s="78" t="s">
        <v>182</v>
      </c>
      <c r="C78" s="84" t="s">
        <v>280</v>
      </c>
      <c r="D78" s="78" t="s">
        <v>136</v>
      </c>
    </row>
    <row r="79" spans="1:4" ht="18" customHeight="1" x14ac:dyDescent="0.25">
      <c r="A79" s="78">
        <v>203598</v>
      </c>
      <c r="B79" s="78" t="s">
        <v>166</v>
      </c>
      <c r="C79" s="84" t="s">
        <v>277</v>
      </c>
      <c r="D79" s="78" t="s">
        <v>50</v>
      </c>
    </row>
    <row r="80" spans="1:4" ht="18" customHeight="1" x14ac:dyDescent="0.25">
      <c r="A80" s="78">
        <v>203609</v>
      </c>
      <c r="B80" s="78" t="s">
        <v>200</v>
      </c>
      <c r="C80" s="84" t="s">
        <v>277</v>
      </c>
      <c r="D80" s="78" t="s">
        <v>136</v>
      </c>
    </row>
    <row r="81" spans="1:4" ht="18" customHeight="1" x14ac:dyDescent="0.25">
      <c r="A81" s="78">
        <v>203689</v>
      </c>
      <c r="B81" s="78" t="s">
        <v>176</v>
      </c>
      <c r="C81" s="84" t="s">
        <v>280</v>
      </c>
      <c r="D81" s="78" t="s">
        <v>136</v>
      </c>
    </row>
    <row r="82" spans="1:4" ht="18" customHeight="1" x14ac:dyDescent="0.25">
      <c r="A82" s="78">
        <v>203767</v>
      </c>
      <c r="B82" s="78" t="s">
        <v>98</v>
      </c>
      <c r="C82" s="84" t="s">
        <v>277</v>
      </c>
      <c r="D82" s="78" t="s">
        <v>50</v>
      </c>
    </row>
    <row r="83" spans="1:4" ht="18" customHeight="1" x14ac:dyDescent="0.25">
      <c r="A83" s="78">
        <v>203978</v>
      </c>
      <c r="B83" s="78" t="s">
        <v>99</v>
      </c>
      <c r="C83" s="84" t="s">
        <v>277</v>
      </c>
      <c r="D83" s="78" t="s">
        <v>50</v>
      </c>
    </row>
    <row r="84" spans="1:4" ht="18" customHeight="1" x14ac:dyDescent="0.25">
      <c r="A84" s="78">
        <v>204041</v>
      </c>
      <c r="B84" s="78" t="s">
        <v>167</v>
      </c>
      <c r="C84" s="84" t="s">
        <v>277</v>
      </c>
      <c r="D84" s="78" t="s">
        <v>50</v>
      </c>
    </row>
    <row r="85" spans="1:4" ht="18" customHeight="1" x14ac:dyDescent="0.25">
      <c r="A85" s="78">
        <v>204095</v>
      </c>
      <c r="B85" s="78" t="s">
        <v>100</v>
      </c>
      <c r="C85" s="84" t="s">
        <v>278</v>
      </c>
      <c r="D85" s="78" t="s">
        <v>50</v>
      </c>
    </row>
    <row r="86" spans="1:4" ht="18" customHeight="1" x14ac:dyDescent="0.25">
      <c r="A86" s="78">
        <v>204098</v>
      </c>
      <c r="B86" s="78" t="s">
        <v>240</v>
      </c>
      <c r="C86" s="84" t="s">
        <v>280</v>
      </c>
      <c r="D86" s="78" t="s">
        <v>50</v>
      </c>
    </row>
    <row r="87" spans="1:4" ht="18" customHeight="1" x14ac:dyDescent="0.25">
      <c r="A87" s="78">
        <v>204101</v>
      </c>
      <c r="B87" s="78" t="s">
        <v>241</v>
      </c>
      <c r="C87" s="84" t="s">
        <v>280</v>
      </c>
      <c r="D87" s="78" t="s">
        <v>50</v>
      </c>
    </row>
    <row r="88" spans="1:4" ht="18" customHeight="1" x14ac:dyDescent="0.25">
      <c r="A88" s="78">
        <v>204102</v>
      </c>
      <c r="B88" s="78" t="s">
        <v>242</v>
      </c>
      <c r="C88" s="84" t="s">
        <v>280</v>
      </c>
      <c r="D88" s="78" t="s">
        <v>50</v>
      </c>
    </row>
    <row r="89" spans="1:4" ht="18" customHeight="1" x14ac:dyDescent="0.25">
      <c r="A89" s="78">
        <v>204108</v>
      </c>
      <c r="B89" s="78" t="s">
        <v>243</v>
      </c>
      <c r="C89" s="84" t="s">
        <v>282</v>
      </c>
      <c r="D89" s="78" t="s">
        <v>136</v>
      </c>
    </row>
    <row r="90" spans="1:4" ht="18" customHeight="1" x14ac:dyDescent="0.25">
      <c r="A90" s="78">
        <v>204110</v>
      </c>
      <c r="B90" s="78" t="s">
        <v>244</v>
      </c>
      <c r="C90" s="84" t="s">
        <v>278</v>
      </c>
      <c r="D90" s="78" t="s">
        <v>50</v>
      </c>
    </row>
    <row r="91" spans="1:4" ht="18" customHeight="1" x14ac:dyDescent="0.25">
      <c r="A91" s="78">
        <v>204111</v>
      </c>
      <c r="B91" s="78" t="s">
        <v>245</v>
      </c>
      <c r="C91" s="84" t="s">
        <v>285</v>
      </c>
      <c r="D91" s="78" t="s">
        <v>50</v>
      </c>
    </row>
    <row r="92" spans="1:4" ht="18" customHeight="1" x14ac:dyDescent="0.25">
      <c r="A92" s="78">
        <v>204112</v>
      </c>
      <c r="B92" s="78" t="s">
        <v>101</v>
      </c>
      <c r="C92" s="84" t="s">
        <v>283</v>
      </c>
      <c r="D92" s="78" t="s">
        <v>136</v>
      </c>
    </row>
    <row r="93" spans="1:4" ht="18" customHeight="1" x14ac:dyDescent="0.25">
      <c r="A93" s="78">
        <v>204117</v>
      </c>
      <c r="B93" s="78" t="s">
        <v>102</v>
      </c>
      <c r="C93" s="84" t="s">
        <v>278</v>
      </c>
      <c r="D93" s="78" t="s">
        <v>50</v>
      </c>
    </row>
    <row r="94" spans="1:4" ht="18" customHeight="1" x14ac:dyDescent="0.25">
      <c r="A94" s="78">
        <v>204118</v>
      </c>
      <c r="B94" s="78" t="s">
        <v>246</v>
      </c>
      <c r="C94" s="84" t="s">
        <v>280</v>
      </c>
      <c r="D94" s="78" t="s">
        <v>136</v>
      </c>
    </row>
    <row r="95" spans="1:4" ht="18" customHeight="1" x14ac:dyDescent="0.25">
      <c r="A95" s="78">
        <v>204119</v>
      </c>
      <c r="B95" s="78" t="s">
        <v>103</v>
      </c>
      <c r="C95" s="84" t="s">
        <v>280</v>
      </c>
      <c r="D95" s="78" t="s">
        <v>136</v>
      </c>
    </row>
    <row r="96" spans="1:4" ht="18" customHeight="1" x14ac:dyDescent="0.25">
      <c r="A96" s="78">
        <v>204121</v>
      </c>
      <c r="B96" s="78" t="s">
        <v>202</v>
      </c>
      <c r="C96" s="84" t="s">
        <v>278</v>
      </c>
      <c r="D96" s="78" t="s">
        <v>50</v>
      </c>
    </row>
    <row r="97" spans="1:4" ht="18" customHeight="1" x14ac:dyDescent="0.25">
      <c r="A97" s="78">
        <v>204133</v>
      </c>
      <c r="B97" s="78" t="s">
        <v>247</v>
      </c>
      <c r="C97" s="84" t="s">
        <v>278</v>
      </c>
      <c r="D97" s="78" t="s">
        <v>50</v>
      </c>
    </row>
    <row r="98" spans="1:4" ht="18" customHeight="1" x14ac:dyDescent="0.25">
      <c r="A98" s="78">
        <v>204135</v>
      </c>
      <c r="B98" s="78" t="s">
        <v>104</v>
      </c>
      <c r="C98" s="84" t="s">
        <v>285</v>
      </c>
      <c r="D98" s="78" t="s">
        <v>50</v>
      </c>
    </row>
    <row r="99" spans="1:4" ht="18" customHeight="1" x14ac:dyDescent="0.25">
      <c r="A99" s="78">
        <v>204136</v>
      </c>
      <c r="B99" s="78" t="s">
        <v>105</v>
      </c>
      <c r="C99" s="84" t="s">
        <v>280</v>
      </c>
      <c r="D99" s="78" t="s">
        <v>136</v>
      </c>
    </row>
    <row r="100" spans="1:4" ht="18" customHeight="1" x14ac:dyDescent="0.25">
      <c r="A100" s="78">
        <v>204140</v>
      </c>
      <c r="B100" s="78" t="s">
        <v>106</v>
      </c>
      <c r="C100" s="84" t="s">
        <v>278</v>
      </c>
      <c r="D100" s="78" t="s">
        <v>50</v>
      </c>
    </row>
    <row r="101" spans="1:4" ht="18" customHeight="1" x14ac:dyDescent="0.25">
      <c r="A101" s="78">
        <v>204141</v>
      </c>
      <c r="B101" s="78" t="s">
        <v>107</v>
      </c>
      <c r="C101" s="84" t="s">
        <v>278</v>
      </c>
      <c r="D101" s="78" t="s">
        <v>50</v>
      </c>
    </row>
    <row r="102" spans="1:4" ht="18" customHeight="1" x14ac:dyDescent="0.25">
      <c r="A102" s="78">
        <v>204143</v>
      </c>
      <c r="B102" s="78" t="s">
        <v>145</v>
      </c>
      <c r="C102" s="84" t="s">
        <v>278</v>
      </c>
      <c r="D102" s="78" t="s">
        <v>50</v>
      </c>
    </row>
    <row r="103" spans="1:4" ht="18" customHeight="1" x14ac:dyDescent="0.25">
      <c r="A103" s="78">
        <v>204147</v>
      </c>
      <c r="B103" s="78" t="s">
        <v>108</v>
      </c>
      <c r="C103" s="84" t="s">
        <v>278</v>
      </c>
      <c r="D103" s="78" t="s">
        <v>50</v>
      </c>
    </row>
    <row r="104" spans="1:4" ht="18" customHeight="1" x14ac:dyDescent="0.25">
      <c r="A104" s="78">
        <v>204150</v>
      </c>
      <c r="B104" s="78" t="s">
        <v>109</v>
      </c>
      <c r="C104" s="84" t="s">
        <v>278</v>
      </c>
      <c r="D104" s="78" t="s">
        <v>50</v>
      </c>
    </row>
    <row r="105" spans="1:4" ht="18" customHeight="1" x14ac:dyDescent="0.25">
      <c r="A105" s="78">
        <v>204784</v>
      </c>
      <c r="B105" s="78" t="s">
        <v>180</v>
      </c>
      <c r="C105" s="84" t="s">
        <v>277</v>
      </c>
      <c r="D105" s="78" t="s">
        <v>50</v>
      </c>
    </row>
    <row r="106" spans="1:4" ht="18" customHeight="1" x14ac:dyDescent="0.25">
      <c r="A106" s="78">
        <v>204854</v>
      </c>
      <c r="B106" s="78" t="s">
        <v>248</v>
      </c>
      <c r="C106" s="84" t="s">
        <v>282</v>
      </c>
      <c r="D106" s="78" t="s">
        <v>136</v>
      </c>
    </row>
    <row r="107" spans="1:4" ht="18" customHeight="1" x14ac:dyDescent="0.25">
      <c r="A107" s="78">
        <v>204990</v>
      </c>
      <c r="B107" s="78" t="s">
        <v>199</v>
      </c>
      <c r="C107" s="84" t="s">
        <v>277</v>
      </c>
      <c r="D107" s="78" t="s">
        <v>136</v>
      </c>
    </row>
    <row r="108" spans="1:4" ht="18" customHeight="1" x14ac:dyDescent="0.25">
      <c r="A108" s="78">
        <v>205798</v>
      </c>
      <c r="B108" s="78" t="s">
        <v>249</v>
      </c>
      <c r="C108" s="84" t="s">
        <v>280</v>
      </c>
      <c r="D108" s="78" t="s">
        <v>136</v>
      </c>
    </row>
    <row r="109" spans="1:4" ht="18" customHeight="1" x14ac:dyDescent="0.25">
      <c r="A109" s="78">
        <v>206153</v>
      </c>
      <c r="B109" s="78" t="s">
        <v>250</v>
      </c>
      <c r="C109" s="84" t="s">
        <v>277</v>
      </c>
      <c r="D109" s="78" t="s">
        <v>136</v>
      </c>
    </row>
    <row r="110" spans="1:4" ht="18" customHeight="1" x14ac:dyDescent="0.25">
      <c r="A110" s="78">
        <v>206966</v>
      </c>
      <c r="B110" s="78" t="s">
        <v>251</v>
      </c>
      <c r="C110" s="84" t="s">
        <v>283</v>
      </c>
      <c r="D110" s="78" t="s">
        <v>136</v>
      </c>
    </row>
    <row r="111" spans="1:4" ht="18" customHeight="1" x14ac:dyDescent="0.25">
      <c r="A111" s="78">
        <v>206970</v>
      </c>
      <c r="B111" s="78" t="s">
        <v>252</v>
      </c>
      <c r="C111" s="84" t="s">
        <v>283</v>
      </c>
      <c r="D111" s="78" t="s">
        <v>136</v>
      </c>
    </row>
    <row r="112" spans="1:4" ht="18" customHeight="1" x14ac:dyDescent="0.25">
      <c r="A112" s="78">
        <v>206971</v>
      </c>
      <c r="B112" s="78" t="s">
        <v>253</v>
      </c>
      <c r="C112" s="84" t="s">
        <v>282</v>
      </c>
      <c r="D112" s="78" t="s">
        <v>136</v>
      </c>
    </row>
    <row r="113" spans="1:4" ht="18" customHeight="1" x14ac:dyDescent="0.25">
      <c r="A113" s="78">
        <v>206988</v>
      </c>
      <c r="B113" s="78" t="s">
        <v>254</v>
      </c>
      <c r="C113" s="84" t="s">
        <v>282</v>
      </c>
      <c r="D113" s="78" t="s">
        <v>136</v>
      </c>
    </row>
    <row r="114" spans="1:4" ht="18" customHeight="1" x14ac:dyDescent="0.25">
      <c r="A114" s="78">
        <v>207246</v>
      </c>
      <c r="B114" s="78" t="s">
        <v>179</v>
      </c>
      <c r="C114" s="84" t="s">
        <v>277</v>
      </c>
      <c r="D114" s="78" t="s">
        <v>50</v>
      </c>
    </row>
    <row r="115" spans="1:4" ht="18" customHeight="1" x14ac:dyDescent="0.25">
      <c r="A115" s="78">
        <v>207254</v>
      </c>
      <c r="B115" s="78" t="s">
        <v>110</v>
      </c>
      <c r="C115" s="84" t="s">
        <v>278</v>
      </c>
      <c r="D115" s="78" t="s">
        <v>50</v>
      </c>
    </row>
    <row r="116" spans="1:4" ht="18" customHeight="1" x14ac:dyDescent="0.25">
      <c r="A116" s="78">
        <v>207255</v>
      </c>
      <c r="B116" s="78" t="s">
        <v>111</v>
      </c>
      <c r="C116" s="84" t="s">
        <v>278</v>
      </c>
      <c r="D116" s="78" t="s">
        <v>50</v>
      </c>
    </row>
    <row r="117" spans="1:4" ht="18" customHeight="1" x14ac:dyDescent="0.25">
      <c r="A117" s="78">
        <v>207279</v>
      </c>
      <c r="B117" s="78" t="s">
        <v>112</v>
      </c>
      <c r="C117" s="84" t="s">
        <v>278</v>
      </c>
      <c r="D117" s="78" t="s">
        <v>50</v>
      </c>
    </row>
    <row r="118" spans="1:4" ht="18" customHeight="1" x14ac:dyDescent="0.25">
      <c r="A118" s="78">
        <v>207318</v>
      </c>
      <c r="B118" s="78" t="s">
        <v>177</v>
      </c>
      <c r="C118" s="84" t="s">
        <v>277</v>
      </c>
      <c r="D118" s="78" t="s">
        <v>136</v>
      </c>
    </row>
    <row r="119" spans="1:4" ht="18" customHeight="1" x14ac:dyDescent="0.25">
      <c r="A119" s="78">
        <v>207454</v>
      </c>
      <c r="B119" s="78" t="s">
        <v>204</v>
      </c>
      <c r="C119" s="84" t="s">
        <v>285</v>
      </c>
      <c r="D119" s="78" t="s">
        <v>50</v>
      </c>
    </row>
    <row r="120" spans="1:4" ht="18" customHeight="1" x14ac:dyDescent="0.25">
      <c r="A120" s="78">
        <v>208083</v>
      </c>
      <c r="B120" s="78" t="s">
        <v>168</v>
      </c>
      <c r="C120" s="84" t="s">
        <v>277</v>
      </c>
      <c r="D120" s="78" t="s">
        <v>50</v>
      </c>
    </row>
    <row r="121" spans="1:4" ht="18" customHeight="1" x14ac:dyDescent="0.25">
      <c r="A121" s="78">
        <v>208243</v>
      </c>
      <c r="B121" s="78" t="s">
        <v>255</v>
      </c>
      <c r="C121" s="84" t="s">
        <v>282</v>
      </c>
      <c r="D121" s="78" t="s">
        <v>136</v>
      </c>
    </row>
    <row r="122" spans="1:4" ht="18" customHeight="1" x14ac:dyDescent="0.25">
      <c r="A122" s="78">
        <v>208244</v>
      </c>
      <c r="B122" s="78" t="s">
        <v>256</v>
      </c>
      <c r="C122" s="84" t="s">
        <v>280</v>
      </c>
      <c r="D122" s="78" t="s">
        <v>136</v>
      </c>
    </row>
    <row r="123" spans="1:4" ht="18" customHeight="1" x14ac:dyDescent="0.25">
      <c r="A123" s="78">
        <v>208379</v>
      </c>
      <c r="B123" s="78" t="s">
        <v>113</v>
      </c>
      <c r="C123" s="84" t="s">
        <v>277</v>
      </c>
      <c r="D123" s="78" t="s">
        <v>136</v>
      </c>
    </row>
    <row r="124" spans="1:4" ht="18" customHeight="1" x14ac:dyDescent="0.25">
      <c r="A124" s="78">
        <v>208496</v>
      </c>
      <c r="B124" s="78" t="s">
        <v>201</v>
      </c>
      <c r="C124" s="84" t="s">
        <v>277</v>
      </c>
      <c r="D124" s="78" t="s">
        <v>136</v>
      </c>
    </row>
    <row r="125" spans="1:4" ht="18" customHeight="1" x14ac:dyDescent="0.25">
      <c r="A125" s="78">
        <v>208684</v>
      </c>
      <c r="B125" s="78" t="s">
        <v>114</v>
      </c>
      <c r="C125" s="84" t="s">
        <v>277</v>
      </c>
      <c r="D125" s="78" t="s">
        <v>50</v>
      </c>
    </row>
    <row r="126" spans="1:4" ht="18" customHeight="1" x14ac:dyDescent="0.25">
      <c r="A126" s="78">
        <v>208966</v>
      </c>
      <c r="B126" s="78" t="s">
        <v>257</v>
      </c>
      <c r="C126" s="84" t="s">
        <v>282</v>
      </c>
      <c r="D126" s="78" t="s">
        <v>136</v>
      </c>
    </row>
    <row r="127" spans="1:4" ht="18" customHeight="1" x14ac:dyDescent="0.25">
      <c r="A127" s="78">
        <v>209236</v>
      </c>
      <c r="B127" s="78" t="s">
        <v>198</v>
      </c>
      <c r="C127" s="84" t="s">
        <v>277</v>
      </c>
      <c r="D127" s="78" t="s">
        <v>136</v>
      </c>
    </row>
    <row r="128" spans="1:4" ht="18" customHeight="1" x14ac:dyDescent="0.25">
      <c r="A128" s="78">
        <v>209398</v>
      </c>
      <c r="B128" s="78" t="s">
        <v>115</v>
      </c>
      <c r="C128" s="84" t="s">
        <v>277</v>
      </c>
      <c r="D128" s="78" t="s">
        <v>136</v>
      </c>
    </row>
    <row r="129" spans="1:4" ht="18" customHeight="1" x14ac:dyDescent="0.25">
      <c r="A129" s="78">
        <v>209508</v>
      </c>
      <c r="B129" s="78" t="s">
        <v>116</v>
      </c>
      <c r="C129" s="84" t="s">
        <v>277</v>
      </c>
      <c r="D129" s="78" t="s">
        <v>50</v>
      </c>
    </row>
    <row r="130" spans="1:4" ht="18" customHeight="1" x14ac:dyDescent="0.25">
      <c r="A130" s="78">
        <v>209509</v>
      </c>
      <c r="B130" s="78" t="s">
        <v>117</v>
      </c>
      <c r="C130" s="84" t="s">
        <v>285</v>
      </c>
      <c r="D130" s="78" t="s">
        <v>50</v>
      </c>
    </row>
    <row r="131" spans="1:4" ht="18" customHeight="1" x14ac:dyDescent="0.25">
      <c r="A131" s="78">
        <v>209646</v>
      </c>
      <c r="B131" s="78" t="s">
        <v>118</v>
      </c>
      <c r="C131" s="84" t="s">
        <v>277</v>
      </c>
      <c r="D131" s="78" t="s">
        <v>136</v>
      </c>
    </row>
    <row r="132" spans="1:4" ht="18" customHeight="1" x14ac:dyDescent="0.25">
      <c r="A132" s="78">
        <v>209730</v>
      </c>
      <c r="B132" s="78" t="s">
        <v>119</v>
      </c>
      <c r="C132" s="84" t="s">
        <v>280</v>
      </c>
      <c r="D132" s="78" t="s">
        <v>136</v>
      </c>
    </row>
    <row r="133" spans="1:4" ht="18" customHeight="1" x14ac:dyDescent="0.25">
      <c r="A133" s="78">
        <v>209746</v>
      </c>
      <c r="B133" s="78" t="s">
        <v>258</v>
      </c>
      <c r="C133" s="84" t="s">
        <v>284</v>
      </c>
      <c r="D133" s="78" t="s">
        <v>136</v>
      </c>
    </row>
    <row r="134" spans="1:4" ht="18" customHeight="1" x14ac:dyDescent="0.25">
      <c r="A134" s="78">
        <v>209780</v>
      </c>
      <c r="B134" s="78" t="s">
        <v>259</v>
      </c>
      <c r="C134" s="84" t="s">
        <v>284</v>
      </c>
      <c r="D134" s="78" t="s">
        <v>136</v>
      </c>
    </row>
    <row r="135" spans="1:4" ht="18" customHeight="1" x14ac:dyDescent="0.25">
      <c r="A135" s="78">
        <v>210024</v>
      </c>
      <c r="B135" s="78" t="s">
        <v>120</v>
      </c>
      <c r="C135" s="84" t="s">
        <v>277</v>
      </c>
      <c r="D135" s="78" t="s">
        <v>50</v>
      </c>
    </row>
    <row r="136" spans="1:4" ht="18" customHeight="1" x14ac:dyDescent="0.25">
      <c r="A136" s="78">
        <v>210099</v>
      </c>
      <c r="B136" s="78" t="s">
        <v>146</v>
      </c>
      <c r="C136" s="84" t="s">
        <v>277</v>
      </c>
      <c r="D136" s="78" t="s">
        <v>50</v>
      </c>
    </row>
    <row r="137" spans="1:4" ht="18" customHeight="1" x14ac:dyDescent="0.25">
      <c r="A137" s="78">
        <v>210345</v>
      </c>
      <c r="B137" s="78" t="s">
        <v>147</v>
      </c>
      <c r="C137" s="84" t="s">
        <v>277</v>
      </c>
      <c r="D137" s="78" t="s">
        <v>136</v>
      </c>
    </row>
    <row r="138" spans="1:4" ht="18" customHeight="1" x14ac:dyDescent="0.25">
      <c r="A138" s="78">
        <v>210471</v>
      </c>
      <c r="B138" s="78" t="s">
        <v>148</v>
      </c>
      <c r="C138" s="84" t="s">
        <v>284</v>
      </c>
      <c r="D138" s="78" t="s">
        <v>136</v>
      </c>
    </row>
    <row r="139" spans="1:4" ht="18" customHeight="1" x14ac:dyDescent="0.25">
      <c r="A139" s="78">
        <v>210586</v>
      </c>
      <c r="B139" s="78" t="s">
        <v>169</v>
      </c>
      <c r="C139" s="84" t="s">
        <v>277</v>
      </c>
      <c r="D139" s="78" t="s">
        <v>50</v>
      </c>
    </row>
    <row r="140" spans="1:4" ht="18" customHeight="1" x14ac:dyDescent="0.25">
      <c r="A140" s="78">
        <v>210590</v>
      </c>
      <c r="B140" s="78" t="s">
        <v>121</v>
      </c>
      <c r="C140" s="84" t="s">
        <v>277</v>
      </c>
      <c r="D140" s="78" t="s">
        <v>50</v>
      </c>
    </row>
    <row r="141" spans="1:4" ht="18" customHeight="1" x14ac:dyDescent="0.25">
      <c r="A141" s="78">
        <v>210592</v>
      </c>
      <c r="B141" s="78" t="s">
        <v>122</v>
      </c>
      <c r="C141" s="84" t="s">
        <v>280</v>
      </c>
      <c r="D141" s="78" t="s">
        <v>136</v>
      </c>
    </row>
    <row r="142" spans="1:4" ht="18" customHeight="1" x14ac:dyDescent="0.25">
      <c r="A142" s="78">
        <v>210727</v>
      </c>
      <c r="B142" s="78" t="s">
        <v>123</v>
      </c>
      <c r="C142" s="84" t="s">
        <v>277</v>
      </c>
      <c r="D142" s="78" t="s">
        <v>50</v>
      </c>
    </row>
    <row r="143" spans="1:4" ht="18" customHeight="1" x14ac:dyDescent="0.25">
      <c r="A143" s="78">
        <v>210787</v>
      </c>
      <c r="B143" s="78" t="s">
        <v>260</v>
      </c>
      <c r="C143" s="84" t="s">
        <v>277</v>
      </c>
      <c r="D143" s="78" t="s">
        <v>136</v>
      </c>
    </row>
    <row r="144" spans="1:4" ht="18" customHeight="1" x14ac:dyDescent="0.25">
      <c r="A144" s="78">
        <v>210938</v>
      </c>
      <c r="B144" s="78" t="s">
        <v>212</v>
      </c>
      <c r="C144" s="84" t="s">
        <v>277</v>
      </c>
      <c r="D144" s="78" t="s">
        <v>50</v>
      </c>
    </row>
    <row r="145" spans="1:4" ht="18" customHeight="1" x14ac:dyDescent="0.25">
      <c r="A145" s="78">
        <v>211170</v>
      </c>
      <c r="B145" s="78" t="s">
        <v>261</v>
      </c>
      <c r="C145" s="84" t="s">
        <v>277</v>
      </c>
      <c r="D145" s="78" t="s">
        <v>136</v>
      </c>
    </row>
    <row r="146" spans="1:4" ht="18" customHeight="1" x14ac:dyDescent="0.25">
      <c r="A146" s="78">
        <v>211319</v>
      </c>
      <c r="B146" s="78" t="s">
        <v>149</v>
      </c>
      <c r="C146" s="84" t="s">
        <v>280</v>
      </c>
      <c r="D146" s="78" t="s">
        <v>136</v>
      </c>
    </row>
    <row r="147" spans="1:4" ht="18" customHeight="1" x14ac:dyDescent="0.25">
      <c r="A147" s="78">
        <v>211321</v>
      </c>
      <c r="B147" s="78" t="s">
        <v>124</v>
      </c>
      <c r="C147" s="84" t="s">
        <v>280</v>
      </c>
      <c r="D147" s="78" t="s">
        <v>50</v>
      </c>
    </row>
    <row r="148" spans="1:4" ht="18" customHeight="1" x14ac:dyDescent="0.25">
      <c r="A148" s="78">
        <v>211322</v>
      </c>
      <c r="B148" s="78" t="s">
        <v>125</v>
      </c>
      <c r="C148" s="84" t="s">
        <v>280</v>
      </c>
      <c r="D148" s="78" t="s">
        <v>50</v>
      </c>
    </row>
    <row r="149" spans="1:4" ht="18" customHeight="1" x14ac:dyDescent="0.25">
      <c r="A149" s="78">
        <v>211323</v>
      </c>
      <c r="B149" s="78" t="s">
        <v>126</v>
      </c>
      <c r="C149" s="84" t="s">
        <v>278</v>
      </c>
      <c r="D149" s="78" t="s">
        <v>50</v>
      </c>
    </row>
    <row r="150" spans="1:4" ht="18" customHeight="1" x14ac:dyDescent="0.25">
      <c r="A150" s="78">
        <v>211341</v>
      </c>
      <c r="B150" s="78" t="s">
        <v>127</v>
      </c>
      <c r="C150" s="84" t="s">
        <v>277</v>
      </c>
      <c r="D150" s="78" t="s">
        <v>50</v>
      </c>
    </row>
    <row r="151" spans="1:4" ht="18" customHeight="1" x14ac:dyDescent="0.25">
      <c r="A151" s="78">
        <v>211387</v>
      </c>
      <c r="B151" s="78" t="s">
        <v>128</v>
      </c>
      <c r="C151" s="84" t="s">
        <v>277</v>
      </c>
      <c r="D151" s="78" t="s">
        <v>50</v>
      </c>
    </row>
    <row r="152" spans="1:4" ht="18" customHeight="1" x14ac:dyDescent="0.25">
      <c r="A152" s="78">
        <v>211394</v>
      </c>
      <c r="B152" s="78" t="s">
        <v>129</v>
      </c>
      <c r="C152" s="84" t="s">
        <v>277</v>
      </c>
      <c r="D152" s="78" t="s">
        <v>50</v>
      </c>
    </row>
    <row r="153" spans="1:4" ht="18" customHeight="1" x14ac:dyDescent="0.25">
      <c r="A153" s="78">
        <v>211419</v>
      </c>
      <c r="B153" s="78" t="s">
        <v>130</v>
      </c>
      <c r="C153" s="84" t="s">
        <v>287</v>
      </c>
      <c r="D153" s="78" t="s">
        <v>136</v>
      </c>
    </row>
    <row r="154" spans="1:4" ht="18" customHeight="1" x14ac:dyDescent="0.25">
      <c r="A154" s="78">
        <v>211462</v>
      </c>
      <c r="B154" s="78" t="s">
        <v>131</v>
      </c>
      <c r="C154" s="84" t="s">
        <v>277</v>
      </c>
      <c r="D154" s="78" t="s">
        <v>50</v>
      </c>
    </row>
    <row r="155" spans="1:4" ht="18" customHeight="1" x14ac:dyDescent="0.25">
      <c r="A155" s="78">
        <v>211473</v>
      </c>
      <c r="B155" s="78" t="s">
        <v>193</v>
      </c>
      <c r="C155" s="84" t="s">
        <v>277</v>
      </c>
      <c r="D155" s="78" t="s">
        <v>50</v>
      </c>
    </row>
    <row r="156" spans="1:4" ht="18" customHeight="1" x14ac:dyDescent="0.25">
      <c r="A156" s="78">
        <v>211475</v>
      </c>
      <c r="B156" s="78" t="s">
        <v>173</v>
      </c>
      <c r="C156" s="84" t="s">
        <v>286</v>
      </c>
      <c r="D156" s="78" t="s">
        <v>136</v>
      </c>
    </row>
    <row r="157" spans="1:4" ht="18" customHeight="1" x14ac:dyDescent="0.25">
      <c r="A157" s="78">
        <v>211591</v>
      </c>
      <c r="B157" s="78" t="s">
        <v>181</v>
      </c>
      <c r="C157" s="84" t="s">
        <v>277</v>
      </c>
      <c r="D157" s="78" t="s">
        <v>50</v>
      </c>
    </row>
    <row r="158" spans="1:4" ht="18" customHeight="1" x14ac:dyDescent="0.25">
      <c r="A158" s="78">
        <v>211622</v>
      </c>
      <c r="B158" s="78" t="s">
        <v>132</v>
      </c>
      <c r="C158" s="84" t="s">
        <v>277</v>
      </c>
      <c r="D158" s="78" t="s">
        <v>50</v>
      </c>
    </row>
    <row r="159" spans="1:4" ht="18" customHeight="1" x14ac:dyDescent="0.25">
      <c r="A159" s="78">
        <v>211888</v>
      </c>
      <c r="B159" s="78" t="s">
        <v>133</v>
      </c>
      <c r="C159" s="84" t="s">
        <v>277</v>
      </c>
      <c r="D159" s="78" t="s">
        <v>50</v>
      </c>
    </row>
    <row r="160" spans="1:4" ht="18" customHeight="1" x14ac:dyDescent="0.25">
      <c r="A160" s="78">
        <v>211977</v>
      </c>
      <c r="B160" s="78" t="s">
        <v>170</v>
      </c>
      <c r="C160" s="84" t="s">
        <v>277</v>
      </c>
      <c r="D160" s="78" t="s">
        <v>50</v>
      </c>
    </row>
    <row r="161" spans="1:4" ht="18" customHeight="1" x14ac:dyDescent="0.25">
      <c r="A161" s="78">
        <v>211991</v>
      </c>
      <c r="B161" s="78" t="s">
        <v>134</v>
      </c>
      <c r="C161" s="84" t="s">
        <v>277</v>
      </c>
      <c r="D161" s="78" t="s">
        <v>50</v>
      </c>
    </row>
    <row r="162" spans="1:4" ht="18" customHeight="1" x14ac:dyDescent="0.25">
      <c r="A162" s="78">
        <v>211992</v>
      </c>
      <c r="B162" s="78" t="s">
        <v>135</v>
      </c>
      <c r="C162" s="84" t="s">
        <v>277</v>
      </c>
      <c r="D162" s="78" t="s">
        <v>50</v>
      </c>
    </row>
    <row r="163" spans="1:4" ht="18" customHeight="1" x14ac:dyDescent="0.25">
      <c r="A163" s="78">
        <v>212184</v>
      </c>
      <c r="B163" s="78" t="s">
        <v>150</v>
      </c>
      <c r="C163" s="84" t="s">
        <v>280</v>
      </c>
      <c r="D163" s="78" t="s">
        <v>136</v>
      </c>
    </row>
    <row r="164" spans="1:4" ht="18" customHeight="1" x14ac:dyDescent="0.25">
      <c r="A164" s="78">
        <v>212187</v>
      </c>
      <c r="B164" s="78" t="s">
        <v>151</v>
      </c>
      <c r="C164" s="84" t="s">
        <v>280</v>
      </c>
      <c r="D164" s="78" t="s">
        <v>136</v>
      </c>
    </row>
    <row r="165" spans="1:4" ht="18" customHeight="1" x14ac:dyDescent="0.25">
      <c r="A165" s="78">
        <v>212202</v>
      </c>
      <c r="B165" s="78" t="s">
        <v>152</v>
      </c>
      <c r="C165" s="84" t="s">
        <v>278</v>
      </c>
      <c r="D165" s="78" t="s">
        <v>50</v>
      </c>
    </row>
    <row r="166" spans="1:4" ht="18" customHeight="1" x14ac:dyDescent="0.25">
      <c r="A166" s="78">
        <v>212221</v>
      </c>
      <c r="B166" s="78" t="s">
        <v>153</v>
      </c>
      <c r="C166" s="84" t="s">
        <v>277</v>
      </c>
      <c r="D166" s="78" t="s">
        <v>50</v>
      </c>
    </row>
    <row r="167" spans="1:4" ht="18" customHeight="1" x14ac:dyDescent="0.25">
      <c r="A167" s="78">
        <v>212223</v>
      </c>
      <c r="B167" s="78" t="s">
        <v>154</v>
      </c>
      <c r="C167" s="84" t="s">
        <v>277</v>
      </c>
      <c r="D167" s="78" t="s">
        <v>50</v>
      </c>
    </row>
    <row r="168" spans="1:4" ht="18" customHeight="1" x14ac:dyDescent="0.25">
      <c r="A168" s="78">
        <v>212226</v>
      </c>
      <c r="B168" s="78" t="s">
        <v>155</v>
      </c>
      <c r="C168" s="84" t="s">
        <v>277</v>
      </c>
      <c r="D168" s="78" t="s">
        <v>136</v>
      </c>
    </row>
    <row r="169" spans="1:4" ht="18" customHeight="1" x14ac:dyDescent="0.25">
      <c r="A169" s="78">
        <v>212227</v>
      </c>
      <c r="B169" s="78" t="s">
        <v>156</v>
      </c>
      <c r="C169" s="84" t="s">
        <v>277</v>
      </c>
      <c r="D169" s="78" t="s">
        <v>50</v>
      </c>
    </row>
    <row r="170" spans="1:4" ht="18" customHeight="1" x14ac:dyDescent="0.25">
      <c r="A170" s="78">
        <v>212228</v>
      </c>
      <c r="B170" s="78" t="s">
        <v>157</v>
      </c>
      <c r="C170" s="84" t="s">
        <v>277</v>
      </c>
      <c r="D170" s="78" t="s">
        <v>50</v>
      </c>
    </row>
    <row r="171" spans="1:4" ht="18" customHeight="1" x14ac:dyDescent="0.25">
      <c r="A171" s="78">
        <v>212229</v>
      </c>
      <c r="B171" s="78" t="s">
        <v>158</v>
      </c>
      <c r="C171" s="84" t="s">
        <v>287</v>
      </c>
      <c r="D171" s="78" t="s">
        <v>136</v>
      </c>
    </row>
    <row r="172" spans="1:4" ht="18" customHeight="1" x14ac:dyDescent="0.25">
      <c r="A172" s="78">
        <v>212230</v>
      </c>
      <c r="B172" s="78" t="s">
        <v>159</v>
      </c>
      <c r="C172" s="84" t="s">
        <v>277</v>
      </c>
      <c r="D172" s="78" t="s">
        <v>50</v>
      </c>
    </row>
    <row r="173" spans="1:4" ht="18" customHeight="1" x14ac:dyDescent="0.25">
      <c r="A173" s="78">
        <v>212241</v>
      </c>
      <c r="B173" s="78" t="s">
        <v>160</v>
      </c>
      <c r="C173" s="84" t="s">
        <v>277</v>
      </c>
      <c r="D173" s="78" t="s">
        <v>50</v>
      </c>
    </row>
    <row r="174" spans="1:4" ht="18" customHeight="1" x14ac:dyDescent="0.25">
      <c r="A174" s="78">
        <v>212244</v>
      </c>
      <c r="B174" s="78" t="s">
        <v>262</v>
      </c>
      <c r="C174" s="84" t="s">
        <v>284</v>
      </c>
      <c r="D174" s="78" t="s">
        <v>136</v>
      </c>
    </row>
    <row r="175" spans="1:4" ht="18" customHeight="1" x14ac:dyDescent="0.25">
      <c r="A175" s="78">
        <v>212248</v>
      </c>
      <c r="B175" s="78" t="s">
        <v>263</v>
      </c>
      <c r="C175" s="84" t="s">
        <v>283</v>
      </c>
      <c r="D175" s="78" t="s">
        <v>136</v>
      </c>
    </row>
    <row r="176" spans="1:4" ht="18" customHeight="1" x14ac:dyDescent="0.25">
      <c r="A176" s="78">
        <v>212292</v>
      </c>
      <c r="B176" s="78" t="s">
        <v>161</v>
      </c>
      <c r="C176" s="84" t="s">
        <v>277</v>
      </c>
      <c r="D176" s="78" t="s">
        <v>50</v>
      </c>
    </row>
    <row r="177" spans="1:4" ht="18" customHeight="1" x14ac:dyDescent="0.25">
      <c r="A177" s="78">
        <v>212314</v>
      </c>
      <c r="B177" s="78" t="s">
        <v>162</v>
      </c>
      <c r="C177" s="84" t="s">
        <v>280</v>
      </c>
      <c r="D177" s="78" t="s">
        <v>136</v>
      </c>
    </row>
    <row r="178" spans="1:4" ht="18" customHeight="1" x14ac:dyDescent="0.25">
      <c r="A178" s="78">
        <v>212383</v>
      </c>
      <c r="B178" s="78" t="s">
        <v>208</v>
      </c>
      <c r="C178" s="84" t="s">
        <v>280</v>
      </c>
      <c r="D178" s="78" t="s">
        <v>136</v>
      </c>
    </row>
    <row r="179" spans="1:4" ht="18" customHeight="1" x14ac:dyDescent="0.25">
      <c r="A179" s="78">
        <v>212403</v>
      </c>
      <c r="B179" s="78" t="s">
        <v>213</v>
      </c>
      <c r="C179" s="84" t="s">
        <v>285</v>
      </c>
      <c r="D179" s="78" t="s">
        <v>50</v>
      </c>
    </row>
    <row r="180" spans="1:4" ht="18" customHeight="1" x14ac:dyDescent="0.25">
      <c r="A180" s="78">
        <v>212407</v>
      </c>
      <c r="B180" s="78" t="s">
        <v>163</v>
      </c>
      <c r="C180" s="84" t="s">
        <v>280</v>
      </c>
      <c r="D180" s="78" t="s">
        <v>136</v>
      </c>
    </row>
    <row r="181" spans="1:4" ht="18" customHeight="1" x14ac:dyDescent="0.25">
      <c r="A181" s="78">
        <v>212409</v>
      </c>
      <c r="B181" s="78" t="s">
        <v>174</v>
      </c>
      <c r="C181" s="84" t="s">
        <v>277</v>
      </c>
      <c r="D181" s="78" t="s">
        <v>50</v>
      </c>
    </row>
    <row r="182" spans="1:4" x14ac:dyDescent="0.25">
      <c r="A182" s="78">
        <v>212419</v>
      </c>
      <c r="B182" s="78" t="s">
        <v>264</v>
      </c>
      <c r="C182" s="84" t="s">
        <v>287</v>
      </c>
      <c r="D182" s="78" t="s">
        <v>50</v>
      </c>
    </row>
    <row r="183" spans="1:4" x14ac:dyDescent="0.25">
      <c r="A183" s="78">
        <v>212545</v>
      </c>
      <c r="B183" s="78" t="s">
        <v>171</v>
      </c>
      <c r="C183" s="84" t="s">
        <v>277</v>
      </c>
      <c r="D183" s="78" t="s">
        <v>50</v>
      </c>
    </row>
    <row r="184" spans="1:4" x14ac:dyDescent="0.25">
      <c r="A184" s="78">
        <v>212619</v>
      </c>
      <c r="B184" s="78" t="s">
        <v>175</v>
      </c>
      <c r="C184" s="84" t="s">
        <v>280</v>
      </c>
      <c r="D184" s="78" t="s">
        <v>136</v>
      </c>
    </row>
    <row r="185" spans="1:4" x14ac:dyDescent="0.25">
      <c r="A185" s="78">
        <v>212620</v>
      </c>
      <c r="B185" s="78" t="s">
        <v>265</v>
      </c>
      <c r="C185" s="84" t="s">
        <v>280</v>
      </c>
      <c r="D185" s="78" t="s">
        <v>136</v>
      </c>
    </row>
    <row r="186" spans="1:4" x14ac:dyDescent="0.25">
      <c r="A186" s="78">
        <v>212846</v>
      </c>
      <c r="B186" s="78" t="s">
        <v>189</v>
      </c>
      <c r="C186" s="84" t="s">
        <v>277</v>
      </c>
      <c r="D186" s="78" t="s">
        <v>50</v>
      </c>
    </row>
    <row r="187" spans="1:4" x14ac:dyDescent="0.25">
      <c r="A187" s="78">
        <v>212968</v>
      </c>
      <c r="B187" s="78" t="s">
        <v>196</v>
      </c>
      <c r="C187" s="84" t="s">
        <v>277</v>
      </c>
      <c r="D187" s="78" t="s">
        <v>136</v>
      </c>
    </row>
    <row r="188" spans="1:4" x14ac:dyDescent="0.25">
      <c r="A188" s="78">
        <v>212970</v>
      </c>
      <c r="B188" s="78" t="s">
        <v>195</v>
      </c>
      <c r="C188" s="84" t="s">
        <v>277</v>
      </c>
      <c r="D188" s="78" t="s">
        <v>136</v>
      </c>
    </row>
    <row r="189" spans="1:4" x14ac:dyDescent="0.25">
      <c r="A189" s="78">
        <v>212996</v>
      </c>
      <c r="B189" s="78" t="s">
        <v>206</v>
      </c>
      <c r="C189" s="84" t="s">
        <v>280</v>
      </c>
      <c r="D189" s="78" t="s">
        <v>136</v>
      </c>
    </row>
    <row r="190" spans="1:4" x14ac:dyDescent="0.25">
      <c r="A190" s="78">
        <v>212998</v>
      </c>
      <c r="B190" s="78" t="s">
        <v>207</v>
      </c>
      <c r="C190" s="84" t="s">
        <v>280</v>
      </c>
      <c r="D190" s="78" t="s">
        <v>136</v>
      </c>
    </row>
    <row r="191" spans="1:4" x14ac:dyDescent="0.25">
      <c r="A191" s="78">
        <v>212999</v>
      </c>
      <c r="B191" s="78" t="s">
        <v>266</v>
      </c>
      <c r="C191" s="84" t="s">
        <v>280</v>
      </c>
      <c r="D191" s="78" t="s">
        <v>136</v>
      </c>
    </row>
    <row r="192" spans="1:4" x14ac:dyDescent="0.25">
      <c r="A192" s="78">
        <v>213002</v>
      </c>
      <c r="B192" s="78" t="s">
        <v>205</v>
      </c>
      <c r="C192" s="84" t="s">
        <v>280</v>
      </c>
      <c r="D192" s="79" t="s">
        <v>136</v>
      </c>
    </row>
    <row r="193" spans="1:4" x14ac:dyDescent="0.25">
      <c r="A193" s="78">
        <v>213007</v>
      </c>
      <c r="B193" s="78" t="s">
        <v>267</v>
      </c>
      <c r="C193" s="84" t="s">
        <v>280</v>
      </c>
      <c r="D193" s="79" t="s">
        <v>136</v>
      </c>
    </row>
    <row r="194" spans="1:4" x14ac:dyDescent="0.25">
      <c r="A194" s="78">
        <v>213008</v>
      </c>
      <c r="B194" s="78" t="s">
        <v>268</v>
      </c>
      <c r="C194" s="84" t="s">
        <v>280</v>
      </c>
      <c r="D194" s="79" t="s">
        <v>136</v>
      </c>
    </row>
    <row r="195" spans="1:4" x14ac:dyDescent="0.25">
      <c r="A195" s="78">
        <v>213014</v>
      </c>
      <c r="B195" s="78" t="s">
        <v>269</v>
      </c>
      <c r="C195" s="84" t="s">
        <v>285</v>
      </c>
      <c r="D195" s="79" t="s">
        <v>50</v>
      </c>
    </row>
    <row r="196" spans="1:4" x14ac:dyDescent="0.25">
      <c r="A196" s="78">
        <v>213018</v>
      </c>
      <c r="B196" s="78" t="s">
        <v>186</v>
      </c>
      <c r="C196" s="84" t="s">
        <v>277</v>
      </c>
      <c r="D196" s="79" t="s">
        <v>50</v>
      </c>
    </row>
    <row r="197" spans="1:4" x14ac:dyDescent="0.25">
      <c r="A197" s="78">
        <v>213019</v>
      </c>
      <c r="B197" s="78" t="s">
        <v>178</v>
      </c>
      <c r="C197" s="84" t="s">
        <v>277</v>
      </c>
      <c r="D197" s="79" t="s">
        <v>50</v>
      </c>
    </row>
    <row r="198" spans="1:4" x14ac:dyDescent="0.25">
      <c r="A198" s="78">
        <v>213021</v>
      </c>
      <c r="B198" s="78" t="s">
        <v>194</v>
      </c>
      <c r="C198" s="84" t="s">
        <v>277</v>
      </c>
      <c r="D198" s="79" t="s">
        <v>50</v>
      </c>
    </row>
    <row r="199" spans="1:4" x14ac:dyDescent="0.25">
      <c r="A199" s="78">
        <v>213024</v>
      </c>
      <c r="B199" s="78" t="s">
        <v>192</v>
      </c>
      <c r="C199" s="84" t="s">
        <v>277</v>
      </c>
      <c r="D199" s="79" t="s">
        <v>50</v>
      </c>
    </row>
    <row r="200" spans="1:4" x14ac:dyDescent="0.25">
      <c r="A200" s="78">
        <v>213026</v>
      </c>
      <c r="B200" s="78" t="s">
        <v>270</v>
      </c>
      <c r="C200" s="84" t="s">
        <v>286</v>
      </c>
      <c r="D200" s="79" t="s">
        <v>50</v>
      </c>
    </row>
    <row r="201" spans="1:4" x14ac:dyDescent="0.25">
      <c r="A201" s="78">
        <v>213027</v>
      </c>
      <c r="B201" s="78" t="s">
        <v>188</v>
      </c>
      <c r="C201" s="84" t="s">
        <v>277</v>
      </c>
      <c r="D201" s="79" t="s">
        <v>50</v>
      </c>
    </row>
    <row r="202" spans="1:4" x14ac:dyDescent="0.25">
      <c r="A202" s="78">
        <v>213029</v>
      </c>
      <c r="B202" s="78" t="s">
        <v>184</v>
      </c>
      <c r="C202" s="84" t="s">
        <v>277</v>
      </c>
      <c r="D202" s="79" t="s">
        <v>50</v>
      </c>
    </row>
    <row r="203" spans="1:4" x14ac:dyDescent="0.25">
      <c r="A203" s="78">
        <v>213030</v>
      </c>
      <c r="B203" s="78" t="s">
        <v>185</v>
      </c>
      <c r="C203" s="84" t="s">
        <v>277</v>
      </c>
      <c r="D203" s="79" t="s">
        <v>50</v>
      </c>
    </row>
    <row r="204" spans="1:4" x14ac:dyDescent="0.25">
      <c r="A204" s="78">
        <v>213032</v>
      </c>
      <c r="B204" s="78" t="s">
        <v>191</v>
      </c>
      <c r="C204" s="84" t="s">
        <v>277</v>
      </c>
      <c r="D204" s="79" t="s">
        <v>50</v>
      </c>
    </row>
    <row r="205" spans="1:4" x14ac:dyDescent="0.25">
      <c r="A205" s="78">
        <v>213033</v>
      </c>
      <c r="B205" s="78" t="s">
        <v>183</v>
      </c>
      <c r="C205" s="84" t="s">
        <v>277</v>
      </c>
      <c r="D205" s="79" t="s">
        <v>50</v>
      </c>
    </row>
    <row r="206" spans="1:4" x14ac:dyDescent="0.25">
      <c r="A206" s="78">
        <v>213090</v>
      </c>
      <c r="B206" s="78" t="s">
        <v>271</v>
      </c>
      <c r="C206" s="78" t="s">
        <v>286</v>
      </c>
      <c r="D206" s="88" t="s">
        <v>50</v>
      </c>
    </row>
    <row r="207" spans="1:4" x14ac:dyDescent="0.25">
      <c r="A207" s="78">
        <v>213275</v>
      </c>
      <c r="B207" s="78" t="s">
        <v>214</v>
      </c>
      <c r="C207" s="78" t="s">
        <v>277</v>
      </c>
      <c r="D207" s="88" t="s">
        <v>136</v>
      </c>
    </row>
    <row r="208" spans="1:4" x14ac:dyDescent="0.25">
      <c r="A208" s="78">
        <v>213288</v>
      </c>
      <c r="B208" s="78" t="s">
        <v>209</v>
      </c>
      <c r="C208" s="78" t="s">
        <v>280</v>
      </c>
      <c r="D208" s="88" t="s">
        <v>136</v>
      </c>
    </row>
    <row r="209" spans="1:4" x14ac:dyDescent="0.25">
      <c r="A209" s="78">
        <v>213289</v>
      </c>
      <c r="B209" s="78" t="s">
        <v>210</v>
      </c>
      <c r="C209" s="78" t="s">
        <v>280</v>
      </c>
      <c r="D209" s="88" t="s">
        <v>136</v>
      </c>
    </row>
    <row r="210" spans="1:4" x14ac:dyDescent="0.25">
      <c r="A210" s="78">
        <v>213290</v>
      </c>
      <c r="B210" s="78" t="s">
        <v>211</v>
      </c>
      <c r="C210" s="78" t="s">
        <v>280</v>
      </c>
      <c r="D210" s="88" t="s">
        <v>136</v>
      </c>
    </row>
    <row r="211" spans="1:4" x14ac:dyDescent="0.25">
      <c r="A211" s="78">
        <v>213353</v>
      </c>
      <c r="B211" s="78" t="s">
        <v>272</v>
      </c>
      <c r="C211" s="78" t="s">
        <v>280</v>
      </c>
      <c r="D211" s="88" t="s">
        <v>136</v>
      </c>
    </row>
    <row r="212" spans="1:4" x14ac:dyDescent="0.25">
      <c r="A212" s="78">
        <v>213364</v>
      </c>
      <c r="B212" s="78" t="s">
        <v>273</v>
      </c>
      <c r="C212" s="78" t="s">
        <v>277</v>
      </c>
      <c r="D212" s="88" t="s">
        <v>136</v>
      </c>
    </row>
    <row r="213" spans="1:4" x14ac:dyDescent="0.25">
      <c r="A213" s="78">
        <v>213365</v>
      </c>
      <c r="B213" s="78" t="s">
        <v>274</v>
      </c>
      <c r="C213" s="78" t="s">
        <v>277</v>
      </c>
      <c r="D213" s="88" t="s">
        <v>136</v>
      </c>
    </row>
    <row r="214" spans="1:4" x14ac:dyDescent="0.25">
      <c r="A214" s="78">
        <v>213380</v>
      </c>
      <c r="B214" s="78" t="s">
        <v>275</v>
      </c>
      <c r="C214" s="78" t="s">
        <v>282</v>
      </c>
      <c r="D214" s="88" t="s">
        <v>136</v>
      </c>
    </row>
    <row r="215" spans="1:4" x14ac:dyDescent="0.25">
      <c r="A215" s="78">
        <v>213422</v>
      </c>
      <c r="B215" s="78" t="s">
        <v>318</v>
      </c>
      <c r="C215" s="78" t="s">
        <v>280</v>
      </c>
      <c r="D215" s="88" t="s">
        <v>136</v>
      </c>
    </row>
    <row r="216" spans="1:4" x14ac:dyDescent="0.25">
      <c r="A216" s="78">
        <v>213423</v>
      </c>
      <c r="B216" s="78" t="s">
        <v>319</v>
      </c>
      <c r="C216" s="78" t="s">
        <v>280</v>
      </c>
      <c r="D216" s="129" t="s">
        <v>136</v>
      </c>
    </row>
    <row r="217" spans="1:4" x14ac:dyDescent="0.25">
      <c r="A217" s="78">
        <v>204427</v>
      </c>
      <c r="B217" s="78" t="s">
        <v>315</v>
      </c>
      <c r="C217" s="78" t="s">
        <v>280</v>
      </c>
      <c r="D217" s="129" t="s">
        <v>136</v>
      </c>
    </row>
    <row r="218" spans="1:4" x14ac:dyDescent="0.25">
      <c r="A218" s="78">
        <v>213161</v>
      </c>
      <c r="B218" s="78" t="s">
        <v>316</v>
      </c>
      <c r="C218" s="78" t="s">
        <v>280</v>
      </c>
      <c r="D218" s="129" t="s">
        <v>136</v>
      </c>
    </row>
    <row r="219" spans="1:4" x14ac:dyDescent="0.25">
      <c r="A219" s="78">
        <v>208362</v>
      </c>
      <c r="B219" s="78" t="s">
        <v>317</v>
      </c>
      <c r="C219" s="78" t="s">
        <v>283</v>
      </c>
      <c r="D219" s="129" t="s">
        <v>136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FF0000"/>
  </sheetPr>
  <dimension ref="A1:L428"/>
  <sheetViews>
    <sheetView showGridLines="0" zoomScale="90" zoomScaleNormal="90" workbookViewId="0">
      <selection activeCell="I15" sqref="I15:I190"/>
    </sheetView>
  </sheetViews>
  <sheetFormatPr baseColWidth="10" defaultColWidth="11.42578125" defaultRowHeight="15" x14ac:dyDescent="0.25"/>
  <cols>
    <col min="1" max="1" width="9.7109375" customWidth="1"/>
    <col min="2" max="2" width="39.28515625" customWidth="1"/>
    <col min="3" max="3" width="35.85546875" bestFit="1" customWidth="1"/>
    <col min="4" max="4" width="11.5703125" style="61" bestFit="1" customWidth="1"/>
    <col min="5" max="5" width="13.7109375" bestFit="1" customWidth="1"/>
    <col min="7" max="7" width="23.7109375" customWidth="1"/>
    <col min="8" max="8" width="18.42578125" customWidth="1"/>
    <col min="9" max="9" width="18.140625" customWidth="1"/>
    <col min="10" max="10" width="13.5703125" customWidth="1"/>
    <col min="11" max="11" width="13.85546875" customWidth="1"/>
  </cols>
  <sheetData>
    <row r="1" spans="1:12" ht="42" customHeight="1" x14ac:dyDescent="0.25"/>
    <row r="2" spans="1:12" x14ac:dyDescent="0.25">
      <c r="A2" s="144" t="s">
        <v>0</v>
      </c>
      <c r="B2" s="144" t="s">
        <v>1</v>
      </c>
      <c r="C2" s="144" t="s">
        <v>2</v>
      </c>
      <c r="D2" s="144" t="s">
        <v>4</v>
      </c>
      <c r="E2" s="144" t="s">
        <v>5</v>
      </c>
      <c r="F2" s="144" t="s">
        <v>6</v>
      </c>
      <c r="G2" s="144" t="s">
        <v>298</v>
      </c>
      <c r="H2" s="144" t="s">
        <v>19</v>
      </c>
      <c r="I2" s="144" t="s">
        <v>21</v>
      </c>
      <c r="J2" s="144" t="s">
        <v>20</v>
      </c>
      <c r="K2" s="144" t="s">
        <v>3</v>
      </c>
      <c r="L2" s="144" t="s">
        <v>7</v>
      </c>
    </row>
    <row r="3" spans="1:12" x14ac:dyDescent="0.25">
      <c r="A3" s="144">
        <v>211475</v>
      </c>
      <c r="B3" s="144" t="str">
        <f>+IFERROR(VLOOKUP(A3,Tabla2[#Data],2,0),"")</f>
        <v>FREDDYS JOSUE AGUILERA ANDRADE</v>
      </c>
      <c r="C3" s="144" t="str">
        <f>+IFERROR(VLOOKUP(A3,Tabla2[#Data],3,0),"")</f>
        <v>Auxiliar de Patio de Caña</v>
      </c>
      <c r="D3" s="144">
        <v>1</v>
      </c>
      <c r="E3" s="144">
        <v>43855</v>
      </c>
      <c r="F3" s="144" t="str">
        <f>+IFERROR(VLOOKUP(WEEKDAY(E3),Catalogo!$F$1:$G$7,2,0),"")</f>
        <v>SÁBADO</v>
      </c>
      <c r="G3" s="144" t="s">
        <v>292</v>
      </c>
      <c r="H3" s="144"/>
      <c r="I3" s="144">
        <v>65</v>
      </c>
      <c r="J3" s="144"/>
      <c r="K3" s="144"/>
      <c r="L3" s="144">
        <f>SUM(Tabla1[[#This Row],[Desayuno C$ 25]:[Transporte]])</f>
        <v>65</v>
      </c>
    </row>
    <row r="4" spans="1:12" x14ac:dyDescent="0.25">
      <c r="A4" s="144">
        <v>212999</v>
      </c>
      <c r="B4" s="144" t="str">
        <f>+IFERROR(VLOOKUP(A4,Tabla2[#Data],2,0),"")</f>
        <v>CARLOS ALEXANDER PINEDA RAMIREZ</v>
      </c>
      <c r="C4" s="144" t="str">
        <f>+IFERROR(VLOOKUP(A4,Tabla2[#Data],3,0),"")</f>
        <v>Operador de Cabezal I</v>
      </c>
      <c r="D4" s="144">
        <v>2</v>
      </c>
      <c r="E4" s="144">
        <v>43855</v>
      </c>
      <c r="F4" s="144" t="str">
        <f>+IFERROR(VLOOKUP(WEEKDAY(E4),Catalogo!$F$1:$G$7,2,0),"")</f>
        <v>SÁBADO</v>
      </c>
      <c r="G4" s="144" t="s">
        <v>296</v>
      </c>
      <c r="H4" s="144"/>
      <c r="I4" s="144">
        <v>35</v>
      </c>
      <c r="J4" s="144"/>
      <c r="K4" s="144"/>
      <c r="L4" s="144">
        <f>SUM(Tabla1[[#This Row],[Desayuno C$ 25]:[Transporte]])</f>
        <v>35</v>
      </c>
    </row>
    <row r="5" spans="1:12" x14ac:dyDescent="0.25">
      <c r="A5" s="144">
        <v>202191</v>
      </c>
      <c r="B5" s="144" t="str">
        <f>+IFERROR(VLOOKUP(A5,Tabla2[#Data],2,0),"")</f>
        <v>FRANCISCO JAVIER ROMERO M.</v>
      </c>
      <c r="C5" s="144" t="str">
        <f>+IFERROR(VLOOKUP(A5,Tabla2[#Data],3,0),"")</f>
        <v>Operador de Cabezal I</v>
      </c>
      <c r="D5" s="144">
        <v>3</v>
      </c>
      <c r="E5" s="144">
        <v>43855</v>
      </c>
      <c r="F5" s="144" t="str">
        <f>+IFERROR(VLOOKUP(WEEKDAY(E5),Catalogo!$F$1:$G$7,2,0),"")</f>
        <v>SÁBADO</v>
      </c>
      <c r="G5" s="144" t="s">
        <v>217</v>
      </c>
      <c r="H5" s="144"/>
      <c r="I5" s="144">
        <v>65</v>
      </c>
      <c r="J5" s="144"/>
      <c r="K5" s="144"/>
      <c r="L5" s="144">
        <f>SUM(Tabla1[[#This Row],[Desayuno C$ 25]:[Transporte]])</f>
        <v>65</v>
      </c>
    </row>
    <row r="6" spans="1:12" x14ac:dyDescent="0.25">
      <c r="A6" s="144">
        <v>212314</v>
      </c>
      <c r="B6" s="144" t="str">
        <f>+IFERROR(VLOOKUP(A6,Tabla2[#Data],2,0),"")</f>
        <v>JUAN ANIBAL CARDOZA OVIEDO</v>
      </c>
      <c r="C6" s="144" t="str">
        <f>+IFERROR(VLOOKUP(A6,Tabla2[#Data],3,0),"")</f>
        <v>Operador de Cabezal I</v>
      </c>
      <c r="D6" s="144">
        <v>4</v>
      </c>
      <c r="E6" s="144">
        <v>43855</v>
      </c>
      <c r="F6" s="144" t="str">
        <f>+IFERROR(VLOOKUP(WEEKDAY(E6),Catalogo!$F$1:$G$7,2,0),"")</f>
        <v>SÁBADO</v>
      </c>
      <c r="G6" s="144" t="s">
        <v>296</v>
      </c>
      <c r="H6" s="144"/>
      <c r="I6" s="144">
        <v>35</v>
      </c>
      <c r="J6" s="144"/>
      <c r="K6" s="144"/>
      <c r="L6" s="144">
        <f>SUM(Tabla1[[#This Row],[Desayuno C$ 25]:[Transporte]])</f>
        <v>35</v>
      </c>
    </row>
    <row r="7" spans="1:12" x14ac:dyDescent="0.25">
      <c r="A7" s="144">
        <v>212407</v>
      </c>
      <c r="B7" s="144" t="str">
        <f>+IFERROR(VLOOKUP(A7,Tabla2[#Data],2,0),"")</f>
        <v>LEONEL ANTONIO SANTOS MARTINEZ</v>
      </c>
      <c r="C7" s="144" t="str">
        <f>+IFERROR(VLOOKUP(A7,Tabla2[#Data],3,0),"")</f>
        <v>Operador de Cabezal I</v>
      </c>
      <c r="D7" s="144">
        <v>5</v>
      </c>
      <c r="E7" s="144">
        <v>43855</v>
      </c>
      <c r="F7" s="144" t="str">
        <f>+IFERROR(VLOOKUP(WEEKDAY(E7),Catalogo!$F$1:$G$7,2,0),"")</f>
        <v>SÁBADO</v>
      </c>
      <c r="G7" s="144" t="s">
        <v>320</v>
      </c>
      <c r="H7" s="144"/>
      <c r="I7" s="144">
        <v>35</v>
      </c>
      <c r="J7" s="144"/>
      <c r="K7" s="144"/>
      <c r="L7" s="144">
        <f>SUM(Tabla1[[#This Row],[Desayuno C$ 25]:[Transporte]])</f>
        <v>35</v>
      </c>
    </row>
    <row r="8" spans="1:12" x14ac:dyDescent="0.25">
      <c r="A8" s="144">
        <v>213289</v>
      </c>
      <c r="B8" s="144" t="str">
        <f>+IFERROR(VLOOKUP(A8,Tabla2[#Data],2,0),"")</f>
        <v>WILBER DE JESUS TELLEZ SILVA</v>
      </c>
      <c r="C8" s="144" t="str">
        <f>+IFERROR(VLOOKUP(A8,Tabla2[#Data],3,0),"")</f>
        <v>Operador de Cabezal I</v>
      </c>
      <c r="D8" s="144">
        <v>6</v>
      </c>
      <c r="E8" s="144">
        <v>43855</v>
      </c>
      <c r="F8" s="144" t="str">
        <f>+IFERROR(VLOOKUP(WEEKDAY(E8),Catalogo!$F$1:$G$7,2,0),"")</f>
        <v>SÁBADO</v>
      </c>
      <c r="G8" s="144" t="s">
        <v>217</v>
      </c>
      <c r="H8" s="144"/>
      <c r="I8" s="144">
        <v>65</v>
      </c>
      <c r="J8" s="144"/>
      <c r="K8" s="144"/>
      <c r="L8" s="144">
        <f>SUM(Tabla1[[#This Row],[Desayuno C$ 25]:[Transporte]])</f>
        <v>65</v>
      </c>
    </row>
    <row r="9" spans="1:12" x14ac:dyDescent="0.25">
      <c r="A9" s="144">
        <v>206970</v>
      </c>
      <c r="B9" s="144" t="str">
        <f>+IFERROR(VLOOKUP(A9,Tabla2[#Data],2,0),"")</f>
        <v>BAYARDO ANTONIO FLORES REYES</v>
      </c>
      <c r="C9" s="144" t="str">
        <f>+IFERROR(VLOOKUP(A9,Tabla2[#Data],3,0),"")</f>
        <v>Operador de Maquinaria Pesada II</v>
      </c>
      <c r="D9" s="144">
        <v>7</v>
      </c>
      <c r="E9" s="144">
        <v>43855</v>
      </c>
      <c r="F9" s="144" t="str">
        <f>+IFERROR(VLOOKUP(WEEKDAY(E9),Catalogo!$F$1:$G$7,2,0),"")</f>
        <v>SÁBADO</v>
      </c>
      <c r="G9" s="144" t="s">
        <v>320</v>
      </c>
      <c r="H9" s="144"/>
      <c r="I9" s="144">
        <v>35</v>
      </c>
      <c r="J9" s="144"/>
      <c r="K9" s="144"/>
      <c r="L9" s="144">
        <f>SUM(Tabla1[[#This Row],[Desayuno C$ 25]:[Transporte]])</f>
        <v>35</v>
      </c>
    </row>
    <row r="10" spans="1:12" x14ac:dyDescent="0.25">
      <c r="A10" s="144">
        <v>208243</v>
      </c>
      <c r="B10" s="144" t="str">
        <f>+IFERROR(VLOOKUP(A10,Tabla2[#Data],2,0),"")</f>
        <v>CARLOS JOSE REYES AVENDAÑO</v>
      </c>
      <c r="C10" s="144" t="str">
        <f>+IFERROR(VLOOKUP(A10,Tabla2[#Data],3,0),"")</f>
        <v>Operador de Maquinaria Pesada I</v>
      </c>
      <c r="D10" s="144">
        <v>8</v>
      </c>
      <c r="E10" s="144">
        <v>43855</v>
      </c>
      <c r="F10" s="144" t="str">
        <f>+IFERROR(VLOOKUP(WEEKDAY(E10),Catalogo!$F$1:$G$7,2,0),"")</f>
        <v>SÁBADO</v>
      </c>
      <c r="G10" s="144" t="s">
        <v>320</v>
      </c>
      <c r="H10" s="144"/>
      <c r="I10" s="144">
        <v>35</v>
      </c>
      <c r="J10" s="144"/>
      <c r="K10" s="144"/>
      <c r="L10" s="144">
        <f>SUM(Tabla1[[#This Row],[Desayuno C$ 25]:[Transporte]])</f>
        <v>35</v>
      </c>
    </row>
    <row r="11" spans="1:12" x14ac:dyDescent="0.25">
      <c r="A11" s="144">
        <v>212248</v>
      </c>
      <c r="B11" s="144" t="str">
        <f>+IFERROR(VLOOKUP(A11,Tabla2[#Data],2,0),"")</f>
        <v>ERNALDO DAVID GARCIA MEZA</v>
      </c>
      <c r="C11" s="144" t="str">
        <f>+IFERROR(VLOOKUP(A11,Tabla2[#Data],3,0),"")</f>
        <v>Operador de Maquinaria Pesada II</v>
      </c>
      <c r="D11" s="144">
        <v>9</v>
      </c>
      <c r="E11" s="144">
        <v>43855</v>
      </c>
      <c r="F11" s="144" t="str">
        <f>+IFERROR(VLOOKUP(WEEKDAY(E11),Catalogo!$F$1:$G$7,2,0),"")</f>
        <v>SÁBADO</v>
      </c>
      <c r="G11" s="144" t="s">
        <v>320</v>
      </c>
      <c r="H11" s="144"/>
      <c r="I11" s="144">
        <v>35</v>
      </c>
      <c r="J11" s="144"/>
      <c r="K11" s="144"/>
      <c r="L11" s="144">
        <f>SUM(Tabla1[[#This Row],[Desayuno C$ 25]:[Transporte]])</f>
        <v>35</v>
      </c>
    </row>
    <row r="12" spans="1:12" x14ac:dyDescent="0.25">
      <c r="A12" s="144">
        <v>206988</v>
      </c>
      <c r="B12" s="144" t="str">
        <f>+IFERROR(VLOOKUP(A12,Tabla2[#Data],2,0),"")</f>
        <v>EVERT FRANCISCO RAYO PINEDA</v>
      </c>
      <c r="C12" s="144" t="str">
        <f>+IFERROR(VLOOKUP(A12,Tabla2[#Data],3,0),"")</f>
        <v>Operador de Maquinaria Pesada I</v>
      </c>
      <c r="D12" s="144">
        <v>10</v>
      </c>
      <c r="E12" s="144">
        <v>43855</v>
      </c>
      <c r="F12" s="144" t="str">
        <f>+IFERROR(VLOOKUP(WEEKDAY(E12),Catalogo!$F$1:$G$7,2,0),"")</f>
        <v>SÁBADO</v>
      </c>
      <c r="G12" s="144" t="s">
        <v>320</v>
      </c>
      <c r="H12" s="144"/>
      <c r="I12" s="144">
        <v>35</v>
      </c>
      <c r="J12" s="144"/>
      <c r="K12" s="144"/>
      <c r="L12" s="144">
        <f>SUM(Tabla1[[#This Row],[Desayuno C$ 25]:[Transporte]])</f>
        <v>35</v>
      </c>
    </row>
    <row r="13" spans="1:12" x14ac:dyDescent="0.25">
      <c r="A13" s="144">
        <v>202280</v>
      </c>
      <c r="B13" s="144" t="str">
        <f>+IFERROR(VLOOKUP(A13,Tabla2[#Data],2,0),"")</f>
        <v>FILIBERTO JESUS VARELA HERRERA</v>
      </c>
      <c r="C13" s="144" t="str">
        <f>+IFERROR(VLOOKUP(A13,Tabla2[#Data],3,0),"")</f>
        <v>Operador de Maquinaria Pesada I</v>
      </c>
      <c r="D13" s="144">
        <v>11</v>
      </c>
      <c r="E13" s="144">
        <v>43855</v>
      </c>
      <c r="F13" s="144" t="str">
        <f>+IFERROR(VLOOKUP(WEEKDAY(E13),Catalogo!$F$1:$G$7,2,0),"")</f>
        <v>SÁBADO</v>
      </c>
      <c r="G13" s="144" t="s">
        <v>320</v>
      </c>
      <c r="H13" s="144"/>
      <c r="I13" s="144">
        <v>35</v>
      </c>
      <c r="J13" s="144"/>
      <c r="K13" s="144"/>
      <c r="L13" s="144">
        <f>SUM(Tabla1[[#This Row],[Desayuno C$ 25]:[Transporte]])</f>
        <v>35</v>
      </c>
    </row>
    <row r="14" spans="1:12" x14ac:dyDescent="0.25">
      <c r="A14" s="144">
        <v>206971</v>
      </c>
      <c r="B14" s="144" t="str">
        <f>+IFERROR(VLOOKUP(A14,Tabla2[#Data],2,0),"")</f>
        <v>JUAN ANGEL AGUILERA REYES</v>
      </c>
      <c r="C14" s="144" t="str">
        <f>+IFERROR(VLOOKUP(A14,Tabla2[#Data],3,0),"")</f>
        <v>Operador de Maquinaria Pesada I</v>
      </c>
      <c r="D14" s="144">
        <v>12</v>
      </c>
      <c r="E14" s="144">
        <v>43855</v>
      </c>
      <c r="F14" s="144" t="str">
        <f>+IFERROR(VLOOKUP(WEEKDAY(E14),Catalogo!$F$1:$G$7,2,0),"")</f>
        <v>SÁBADO</v>
      </c>
      <c r="G14" s="144" t="s">
        <v>292</v>
      </c>
      <c r="H14" s="144"/>
      <c r="I14" s="144">
        <v>65</v>
      </c>
      <c r="J14" s="144"/>
      <c r="K14" s="144"/>
      <c r="L14" s="144">
        <f>SUM(Tabla1[[#This Row],[Desayuno C$ 25]:[Transporte]])</f>
        <v>65</v>
      </c>
    </row>
    <row r="15" spans="1:12" x14ac:dyDescent="0.25">
      <c r="A15" s="144">
        <v>202121</v>
      </c>
      <c r="B15" s="144" t="str">
        <f>+IFERROR(VLOOKUP(A15,Tabla2[#Data],2,0),"")</f>
        <v>LUIS DE JESUS TORREZ TORREZ</v>
      </c>
      <c r="C15" s="144" t="str">
        <f>+IFERROR(VLOOKUP(A15,Tabla2[#Data],3,0),"")</f>
        <v>Operador de Maquinaria Pesada II</v>
      </c>
      <c r="D15" s="144">
        <v>13</v>
      </c>
      <c r="E15" s="144">
        <v>43855</v>
      </c>
      <c r="F15" s="144" t="str">
        <f>+IFERROR(VLOOKUP(WEEKDAY(E15),Catalogo!$F$1:$G$7,2,0),"")</f>
        <v>SÁBADO</v>
      </c>
      <c r="G15" s="144" t="s">
        <v>295</v>
      </c>
      <c r="H15" s="144"/>
      <c r="I15" s="144">
        <v>35</v>
      </c>
      <c r="J15" s="144"/>
      <c r="K15" s="144"/>
      <c r="L15" s="144">
        <f>SUM(Tabla1[[#This Row],[Desayuno C$ 25]:[Transporte]])</f>
        <v>35</v>
      </c>
    </row>
    <row r="16" spans="1:12" x14ac:dyDescent="0.25">
      <c r="A16" s="144">
        <v>212244</v>
      </c>
      <c r="B16" s="144" t="str">
        <f>+IFERROR(VLOOKUP(A16,Tabla2[#Data],2,0),"")</f>
        <v>LUIS MANUEL HERRERA MONDRAGON</v>
      </c>
      <c r="C16" s="144" t="str">
        <f>+IFERROR(VLOOKUP(A16,Tabla2[#Data],3,0),"")</f>
        <v>Operador de Maquinaria Pesada III</v>
      </c>
      <c r="D16" s="144">
        <v>14</v>
      </c>
      <c r="E16" s="144">
        <v>43855</v>
      </c>
      <c r="F16" s="144" t="str">
        <f>+IFERROR(VLOOKUP(WEEKDAY(E16),Catalogo!$F$1:$G$7,2,0),"")</f>
        <v>SÁBADO</v>
      </c>
      <c r="G16" s="144" t="s">
        <v>320</v>
      </c>
      <c r="H16" s="144"/>
      <c r="I16" s="144">
        <v>35</v>
      </c>
      <c r="J16" s="144"/>
      <c r="K16" s="144"/>
      <c r="L16" s="144">
        <f>SUM(Tabla1[[#This Row],[Desayuno C$ 25]:[Transporte]])</f>
        <v>35</v>
      </c>
    </row>
    <row r="17" spans="1:12" x14ac:dyDescent="0.25">
      <c r="A17" s="144">
        <v>203394</v>
      </c>
      <c r="B17" s="144" t="str">
        <f>+IFERROR(VLOOKUP(A17,Tabla2[#Data],2,0),"")</f>
        <v>OSCAR FRANCISCO CARCAMO HERRERA</v>
      </c>
      <c r="C17" s="144" t="str">
        <f>+IFERROR(VLOOKUP(A17,Tabla2[#Data],3,0),"")</f>
        <v>Operador de Maquinaria Pesada I</v>
      </c>
      <c r="D17" s="144">
        <v>15</v>
      </c>
      <c r="E17" s="144">
        <v>43855</v>
      </c>
      <c r="F17" s="144" t="str">
        <f>+IFERROR(VLOOKUP(WEEKDAY(E17),Catalogo!$F$1:$G$7,2,0),"")</f>
        <v>SÁBADO</v>
      </c>
      <c r="G17" s="144" t="s">
        <v>320</v>
      </c>
      <c r="H17" s="144"/>
      <c r="I17" s="144">
        <v>35</v>
      </c>
      <c r="J17" s="144"/>
      <c r="K17" s="144"/>
      <c r="L17" s="144">
        <f>SUM(Tabla1[[#This Row],[Desayuno C$ 25]:[Transporte]])</f>
        <v>35</v>
      </c>
    </row>
    <row r="18" spans="1:12" x14ac:dyDescent="0.25">
      <c r="A18" s="144">
        <v>209780</v>
      </c>
      <c r="B18" s="144" t="str">
        <f>+IFERROR(VLOOKUP(A18,Tabla2[#Data],2,0),"")</f>
        <v>LUIS ADOLFO BARRERA AYALA</v>
      </c>
      <c r="C18" s="144" t="str">
        <f>+IFERROR(VLOOKUP(A18,Tabla2[#Data],3,0),"")</f>
        <v>Operador de Maquinaria Pesada III</v>
      </c>
      <c r="D18" s="144">
        <v>16</v>
      </c>
      <c r="E18" s="144">
        <v>43855</v>
      </c>
      <c r="F18" s="144" t="str">
        <f>+IFERROR(VLOOKUP(WEEKDAY(E18),Catalogo!$F$1:$G$7,2,0),"")</f>
        <v>SÁBADO</v>
      </c>
      <c r="G18" s="144" t="s">
        <v>320</v>
      </c>
      <c r="H18" s="144"/>
      <c r="I18" s="144">
        <v>35</v>
      </c>
      <c r="J18" s="144"/>
      <c r="K18" s="144"/>
      <c r="L18" s="144">
        <f>SUM(Tabla1[[#This Row],[Desayuno C$ 25]:[Transporte]])</f>
        <v>35</v>
      </c>
    </row>
    <row r="19" spans="1:12" x14ac:dyDescent="0.25">
      <c r="A19" s="144">
        <v>213380</v>
      </c>
      <c r="B19" s="144" t="str">
        <f>+IFERROR(VLOOKUP(A19,Tabla2[#Data],2,0),"")</f>
        <v>GERARDO JOSE MEZA</v>
      </c>
      <c r="C19" s="144" t="str">
        <f>+IFERROR(VLOOKUP(A19,Tabla2[#Data],3,0),"")</f>
        <v>Operador de Maquinaria Pesada I</v>
      </c>
      <c r="D19" s="144">
        <v>17</v>
      </c>
      <c r="E19" s="144">
        <v>43855</v>
      </c>
      <c r="F19" s="144" t="str">
        <f>+IFERROR(VLOOKUP(WEEKDAY(E19),Catalogo!$F$1:$G$7,2,0),"")</f>
        <v>SÁBADO</v>
      </c>
      <c r="G19" s="144" t="s">
        <v>320</v>
      </c>
      <c r="H19" s="144"/>
      <c r="I19" s="144">
        <v>35</v>
      </c>
      <c r="J19" s="144"/>
      <c r="K19" s="144"/>
      <c r="L19" s="144">
        <f>SUM(Tabla1[[#This Row],[Desayuno C$ 25]:[Transporte]])</f>
        <v>35</v>
      </c>
    </row>
    <row r="20" spans="1:12" x14ac:dyDescent="0.25">
      <c r="A20" s="144">
        <v>206970</v>
      </c>
      <c r="B20" s="144" t="str">
        <f>+IFERROR(VLOOKUP(A20,Tabla2[#Data],2,0),"")</f>
        <v>BAYARDO ANTONIO FLORES REYES</v>
      </c>
      <c r="C20" s="144" t="str">
        <f>+IFERROR(VLOOKUP(A20,Tabla2[#Data],3,0),"")</f>
        <v>Operador de Maquinaria Pesada II</v>
      </c>
      <c r="D20" s="144">
        <v>18</v>
      </c>
      <c r="E20" s="144">
        <v>43856</v>
      </c>
      <c r="F20" s="144" t="str">
        <f>+IFERROR(VLOOKUP(WEEKDAY(E20),Catalogo!$F$1:$G$7,2,0),"")</f>
        <v>DOMINGO</v>
      </c>
      <c r="G20" s="144" t="s">
        <v>320</v>
      </c>
      <c r="H20" s="144"/>
      <c r="I20" s="144">
        <v>35</v>
      </c>
      <c r="J20" s="144"/>
      <c r="K20" s="144"/>
      <c r="L20" s="144">
        <f>SUM(Tabla1[[#This Row],[Desayuno C$ 25]:[Transporte]])</f>
        <v>35</v>
      </c>
    </row>
    <row r="21" spans="1:12" x14ac:dyDescent="0.25">
      <c r="A21" s="144">
        <v>212999</v>
      </c>
      <c r="B21" s="144" t="str">
        <f>+IFERROR(VLOOKUP(A21,Tabla2[#Data],2,0),"")</f>
        <v>CARLOS ALEXANDER PINEDA RAMIREZ</v>
      </c>
      <c r="C21" s="144" t="str">
        <f>+IFERROR(VLOOKUP(A21,Tabla2[#Data],3,0),"")</f>
        <v>Operador de Cabezal I</v>
      </c>
      <c r="D21" s="144">
        <v>19</v>
      </c>
      <c r="E21" s="144">
        <v>43856</v>
      </c>
      <c r="F21" s="144" t="str">
        <f>+IFERROR(VLOOKUP(WEEKDAY(E21),Catalogo!$F$1:$G$7,2,0),"")</f>
        <v>DOMINGO</v>
      </c>
      <c r="G21" s="144" t="s">
        <v>289</v>
      </c>
      <c r="H21" s="144"/>
      <c r="I21" s="144">
        <v>35</v>
      </c>
      <c r="J21" s="144"/>
      <c r="K21" s="144"/>
      <c r="L21" s="144">
        <f>SUM(Tabla1[[#This Row],[Desayuno C$ 25]:[Transporte]])</f>
        <v>35</v>
      </c>
    </row>
    <row r="22" spans="1:12" x14ac:dyDescent="0.25">
      <c r="A22" s="144">
        <v>208243</v>
      </c>
      <c r="B22" s="144" t="str">
        <f>+IFERROR(VLOOKUP(A22,Tabla2[#Data],2,0),"")</f>
        <v>CARLOS JOSE REYES AVENDAÑO</v>
      </c>
      <c r="C22" s="144" t="str">
        <f>+IFERROR(VLOOKUP(A22,Tabla2[#Data],3,0),"")</f>
        <v>Operador de Maquinaria Pesada I</v>
      </c>
      <c r="D22" s="144">
        <v>20</v>
      </c>
      <c r="E22" s="144">
        <v>43856</v>
      </c>
      <c r="F22" s="144" t="str">
        <f>+IFERROR(VLOOKUP(WEEKDAY(E22),Catalogo!$F$1:$G$7,2,0),"")</f>
        <v>DOMINGO</v>
      </c>
      <c r="G22" s="144" t="s">
        <v>297</v>
      </c>
      <c r="H22" s="144"/>
      <c r="I22" s="144">
        <v>35</v>
      </c>
      <c r="J22" s="144"/>
      <c r="K22" s="144"/>
      <c r="L22" s="144">
        <f>SUM(Tabla1[[#This Row],[Desayuno C$ 25]:[Transporte]])</f>
        <v>35</v>
      </c>
    </row>
    <row r="23" spans="1:12" x14ac:dyDescent="0.25">
      <c r="A23" s="144">
        <v>212248</v>
      </c>
      <c r="B23" s="144" t="str">
        <f>+IFERROR(VLOOKUP(A23,Tabla2[#Data],2,0),"")</f>
        <v>ERNALDO DAVID GARCIA MEZA</v>
      </c>
      <c r="C23" s="144" t="str">
        <f>+IFERROR(VLOOKUP(A23,Tabla2[#Data],3,0),"")</f>
        <v>Operador de Maquinaria Pesada II</v>
      </c>
      <c r="D23" s="144">
        <v>21</v>
      </c>
      <c r="E23" s="144">
        <v>43856</v>
      </c>
      <c r="F23" s="144" t="str">
        <f>+IFERROR(VLOOKUP(WEEKDAY(E23),Catalogo!$F$1:$G$7,2,0),"")</f>
        <v>DOMINGO</v>
      </c>
      <c r="G23" s="144" t="s">
        <v>320</v>
      </c>
      <c r="H23" s="144"/>
      <c r="I23" s="144">
        <v>35</v>
      </c>
      <c r="J23" s="144"/>
      <c r="K23" s="144"/>
      <c r="L23" s="144">
        <f>SUM(Tabla1[[#This Row],[Desayuno C$ 25]:[Transporte]])</f>
        <v>35</v>
      </c>
    </row>
    <row r="24" spans="1:12" x14ac:dyDescent="0.25">
      <c r="A24" s="144">
        <v>206988</v>
      </c>
      <c r="B24" s="144" t="str">
        <f>+IFERROR(VLOOKUP(A24,Tabla2[#Data],2,0),"")</f>
        <v>EVERT FRANCISCO RAYO PINEDA</v>
      </c>
      <c r="C24" s="144" t="str">
        <f>+IFERROR(VLOOKUP(A24,Tabla2[#Data],3,0),"")</f>
        <v>Operador de Maquinaria Pesada I</v>
      </c>
      <c r="D24" s="144">
        <v>22</v>
      </c>
      <c r="E24" s="144">
        <v>43856</v>
      </c>
      <c r="F24" s="144" t="str">
        <f>+IFERROR(VLOOKUP(WEEKDAY(E24),Catalogo!$F$1:$G$7,2,0),"")</f>
        <v>DOMINGO</v>
      </c>
      <c r="G24" s="144" t="s">
        <v>320</v>
      </c>
      <c r="H24" s="144"/>
      <c r="I24" s="144">
        <v>35</v>
      </c>
      <c r="J24" s="144"/>
      <c r="K24" s="144"/>
      <c r="L24" s="144">
        <f>SUM(Tabla1[[#This Row],[Desayuno C$ 25]:[Transporte]])</f>
        <v>35</v>
      </c>
    </row>
    <row r="25" spans="1:12" x14ac:dyDescent="0.25">
      <c r="A25" s="144">
        <v>202280</v>
      </c>
      <c r="B25" s="144" t="str">
        <f>+IFERROR(VLOOKUP(A25,Tabla2[#Data],2,0),"")</f>
        <v>FILIBERTO JESUS VARELA HERRERA</v>
      </c>
      <c r="C25" s="144" t="str">
        <f>+IFERROR(VLOOKUP(A25,Tabla2[#Data],3,0),"")</f>
        <v>Operador de Maquinaria Pesada I</v>
      </c>
      <c r="D25" s="144">
        <v>23</v>
      </c>
      <c r="E25" s="144">
        <v>43856</v>
      </c>
      <c r="F25" s="144" t="str">
        <f>+IFERROR(VLOOKUP(WEEKDAY(E25),Catalogo!$F$1:$G$7,2,0),"")</f>
        <v>DOMINGO</v>
      </c>
      <c r="G25" s="144" t="s">
        <v>297</v>
      </c>
      <c r="H25" s="144"/>
      <c r="I25" s="144">
        <v>35</v>
      </c>
      <c r="J25" s="144"/>
      <c r="K25" s="144"/>
      <c r="L25" s="144">
        <f>SUM(Tabla1[[#This Row],[Desayuno C$ 25]:[Transporte]])</f>
        <v>35</v>
      </c>
    </row>
    <row r="26" spans="1:12" x14ac:dyDescent="0.25">
      <c r="A26" s="144">
        <v>212383</v>
      </c>
      <c r="B26" s="144" t="str">
        <f>+IFERROR(VLOOKUP(A26,Tabla2[#Data],2,0),"")</f>
        <v>JOSE DOMINGO TERCERO HERNANDEZ</v>
      </c>
      <c r="C26" s="144" t="str">
        <f>+IFERROR(VLOOKUP(A26,Tabla2[#Data],3,0),"")</f>
        <v>Operador de Cabezal I</v>
      </c>
      <c r="D26" s="144">
        <v>24</v>
      </c>
      <c r="E26" s="144">
        <v>43856</v>
      </c>
      <c r="F26" s="144" t="str">
        <f>+IFERROR(VLOOKUP(WEEKDAY(E26),Catalogo!$F$1:$G$7,2,0),"")</f>
        <v>DOMINGO</v>
      </c>
      <c r="G26" s="144" t="s">
        <v>320</v>
      </c>
      <c r="H26" s="144"/>
      <c r="I26" s="144">
        <v>35</v>
      </c>
      <c r="J26" s="144"/>
      <c r="K26" s="144"/>
      <c r="L26" s="144">
        <f>SUM(Tabla1[[#This Row],[Desayuno C$ 25]:[Transporte]])</f>
        <v>35</v>
      </c>
    </row>
    <row r="27" spans="1:12" x14ac:dyDescent="0.25">
      <c r="A27" s="144">
        <v>206971</v>
      </c>
      <c r="B27" s="144" t="str">
        <f>+IFERROR(VLOOKUP(A27,Tabla2[#Data],2,0),"")</f>
        <v>JUAN ANGEL AGUILERA REYES</v>
      </c>
      <c r="C27" s="144" t="str">
        <f>+IFERROR(VLOOKUP(A27,Tabla2[#Data],3,0),"")</f>
        <v>Operador de Maquinaria Pesada I</v>
      </c>
      <c r="D27" s="144">
        <v>25</v>
      </c>
      <c r="E27" s="144">
        <v>43856</v>
      </c>
      <c r="F27" s="144" t="str">
        <f>+IFERROR(VLOOKUP(WEEKDAY(E27),Catalogo!$F$1:$G$7,2,0),"")</f>
        <v>DOMINGO</v>
      </c>
      <c r="G27" s="144" t="s">
        <v>292</v>
      </c>
      <c r="H27" s="144"/>
      <c r="I27" s="144">
        <v>65</v>
      </c>
      <c r="J27" s="144"/>
      <c r="K27" s="144"/>
      <c r="L27" s="144">
        <f>SUM(Tabla1[[#This Row],[Desayuno C$ 25]:[Transporte]])</f>
        <v>65</v>
      </c>
    </row>
    <row r="28" spans="1:12" x14ac:dyDescent="0.25">
      <c r="A28" s="144">
        <v>203394</v>
      </c>
      <c r="B28" s="144" t="str">
        <f>+IFERROR(VLOOKUP(A28,Tabla2[#Data],2,0),"")</f>
        <v>OSCAR FRANCISCO CARCAMO HERRERA</v>
      </c>
      <c r="C28" s="144" t="str">
        <f>+IFERROR(VLOOKUP(A28,Tabla2[#Data],3,0),"")</f>
        <v>Operador de Maquinaria Pesada I</v>
      </c>
      <c r="D28" s="144">
        <v>26</v>
      </c>
      <c r="E28" s="144">
        <v>43856</v>
      </c>
      <c r="F28" s="144" t="str">
        <f>+IFERROR(VLOOKUP(WEEKDAY(E28),Catalogo!$F$1:$G$7,2,0),"")</f>
        <v>DOMINGO</v>
      </c>
      <c r="G28" s="144" t="s">
        <v>320</v>
      </c>
      <c r="H28" s="144"/>
      <c r="I28" s="144">
        <v>35</v>
      </c>
      <c r="J28" s="144"/>
      <c r="K28" s="144"/>
      <c r="L28" s="144">
        <f>SUM(Tabla1[[#This Row],[Desayuno C$ 25]:[Transporte]])</f>
        <v>35</v>
      </c>
    </row>
    <row r="29" spans="1:12" x14ac:dyDescent="0.25">
      <c r="A29" s="144">
        <v>210471</v>
      </c>
      <c r="B29" s="144" t="str">
        <f>+IFERROR(VLOOKUP(A29,Tabla2[#Data],2,0),"")</f>
        <v>REYNALDO JOSE RIVERA MARTINEZ</v>
      </c>
      <c r="C29" s="144" t="str">
        <f>+IFERROR(VLOOKUP(A29,Tabla2[#Data],3,0),"")</f>
        <v>Operador de Maquinaria Pesada III</v>
      </c>
      <c r="D29" s="144">
        <v>27</v>
      </c>
      <c r="E29" s="144">
        <v>43856</v>
      </c>
      <c r="F29" s="144" t="str">
        <f>+IFERROR(VLOOKUP(WEEKDAY(E29),Catalogo!$F$1:$G$7,2,0),"")</f>
        <v>DOMINGO</v>
      </c>
      <c r="G29" s="144" t="s">
        <v>320</v>
      </c>
      <c r="H29" s="144"/>
      <c r="I29" s="144">
        <v>35</v>
      </c>
      <c r="J29" s="144"/>
      <c r="K29" s="144"/>
      <c r="L29" s="144">
        <f>SUM(Tabla1[[#This Row],[Desayuno C$ 25]:[Transporte]])</f>
        <v>35</v>
      </c>
    </row>
    <row r="30" spans="1:12" x14ac:dyDescent="0.25">
      <c r="A30" s="144">
        <v>204112</v>
      </c>
      <c r="B30" s="144" t="str">
        <f>+IFERROR(VLOOKUP(A30,Tabla2[#Data],2,0),"")</f>
        <v>VICENTE DE JESUS ROMERO LANZAS</v>
      </c>
      <c r="C30" s="144" t="str">
        <f>+IFERROR(VLOOKUP(A30,Tabla2[#Data],3,0),"")</f>
        <v>Operador de Maquinaria Pesada II</v>
      </c>
      <c r="D30" s="144">
        <v>28</v>
      </c>
      <c r="E30" s="144">
        <v>43856</v>
      </c>
      <c r="F30" s="144" t="str">
        <f>+IFERROR(VLOOKUP(WEEKDAY(E30),Catalogo!$F$1:$G$7,2,0),"")</f>
        <v>DOMINGO</v>
      </c>
      <c r="G30" s="144" t="s">
        <v>320</v>
      </c>
      <c r="H30" s="144"/>
      <c r="I30" s="144">
        <v>35</v>
      </c>
      <c r="J30" s="144"/>
      <c r="K30" s="144"/>
      <c r="L30" s="144">
        <f>SUM(Tabla1[[#This Row],[Desayuno C$ 25]:[Transporte]])</f>
        <v>35</v>
      </c>
    </row>
    <row r="31" spans="1:12" x14ac:dyDescent="0.25">
      <c r="A31" s="144">
        <v>208244</v>
      </c>
      <c r="B31" s="144" t="str">
        <f>+IFERROR(VLOOKUP(A31,Tabla2[#Data],2,0),"")</f>
        <v>WILLBERTH JOSE OSORIO MERCADO</v>
      </c>
      <c r="C31" s="144" t="str">
        <f>+IFERROR(VLOOKUP(A31,Tabla2[#Data],3,0),"")</f>
        <v>Operador de Cabezal I</v>
      </c>
      <c r="D31" s="144">
        <v>29</v>
      </c>
      <c r="E31" s="144">
        <v>43856</v>
      </c>
      <c r="F31" s="144" t="str">
        <f>+IFERROR(VLOOKUP(WEEKDAY(E31),Catalogo!$F$1:$G$7,2,0),"")</f>
        <v>DOMINGO</v>
      </c>
      <c r="G31" s="144" t="s">
        <v>289</v>
      </c>
      <c r="H31" s="144"/>
      <c r="I31" s="144">
        <v>35</v>
      </c>
      <c r="J31" s="144"/>
      <c r="K31" s="144"/>
      <c r="L31" s="144">
        <f>SUM(Tabla1[[#This Row],[Desayuno C$ 25]:[Transporte]])</f>
        <v>35</v>
      </c>
    </row>
    <row r="32" spans="1:12" x14ac:dyDescent="0.25">
      <c r="A32" s="144">
        <v>212407</v>
      </c>
      <c r="B32" s="144" t="str">
        <f>+IFERROR(VLOOKUP(A32,Tabla2[#Data],2,0),"")</f>
        <v>LEONEL ANTONIO SANTOS MARTINEZ</v>
      </c>
      <c r="C32" s="144" t="str">
        <f>+IFERROR(VLOOKUP(A32,Tabla2[#Data],3,0),"")</f>
        <v>Operador de Cabezal I</v>
      </c>
      <c r="D32" s="144">
        <v>30</v>
      </c>
      <c r="E32" s="144">
        <v>43856</v>
      </c>
      <c r="F32" s="144" t="str">
        <f>+IFERROR(VLOOKUP(WEEKDAY(E32),Catalogo!$F$1:$G$7,2,0),"")</f>
        <v>DOMINGO</v>
      </c>
      <c r="G32" s="144" t="s">
        <v>320</v>
      </c>
      <c r="H32" s="144"/>
      <c r="I32" s="144">
        <v>35</v>
      </c>
      <c r="J32" s="144"/>
      <c r="K32" s="144"/>
      <c r="L32" s="144">
        <f>SUM(Tabla1[[#This Row],[Desayuno C$ 25]:[Transporte]])</f>
        <v>35</v>
      </c>
    </row>
    <row r="33" spans="1:12" x14ac:dyDescent="0.25">
      <c r="A33" s="144">
        <v>213380</v>
      </c>
      <c r="B33" s="144" t="str">
        <f>+IFERROR(VLOOKUP(A33,Tabla2[#Data],2,0),"")</f>
        <v>GERARDO JOSE MEZA</v>
      </c>
      <c r="C33" s="144" t="str">
        <f>+IFERROR(VLOOKUP(A33,Tabla2[#Data],3,0),"")</f>
        <v>Operador de Maquinaria Pesada I</v>
      </c>
      <c r="D33" s="144">
        <v>31</v>
      </c>
      <c r="E33" s="144">
        <v>43856</v>
      </c>
      <c r="F33" s="144" t="str">
        <f>+IFERROR(VLOOKUP(WEEKDAY(E33),Catalogo!$F$1:$G$7,2,0),"")</f>
        <v>DOMINGO</v>
      </c>
      <c r="G33" s="144" t="s">
        <v>320</v>
      </c>
      <c r="H33" s="144"/>
      <c r="I33" s="144">
        <v>35</v>
      </c>
      <c r="J33" s="144"/>
      <c r="K33" s="144"/>
      <c r="L33" s="144">
        <f>SUM(Tabla1[[#This Row],[Desayuno C$ 25]:[Transporte]])</f>
        <v>35</v>
      </c>
    </row>
    <row r="34" spans="1:12" x14ac:dyDescent="0.25">
      <c r="A34" s="144">
        <v>211419</v>
      </c>
      <c r="B34" s="144" t="str">
        <f>+IFERROR(VLOOKUP(A34,Tabla2[#Data],2,0),"")</f>
        <v>ALFREDO CESAR VALLADAREZ AGUILERA</v>
      </c>
      <c r="C34" s="144" t="str">
        <f>+IFERROR(VLOOKUP(A34,Tabla2[#Data],3,0),"")</f>
        <v>Auxiliar de patio de caña</v>
      </c>
      <c r="D34" s="144">
        <v>32</v>
      </c>
      <c r="E34" s="144">
        <v>43857</v>
      </c>
      <c r="F34" s="144" t="str">
        <f>+IFERROR(VLOOKUP(WEEKDAY(E34),Catalogo!$F$1:$G$7,2,0),"")</f>
        <v>LUNES</v>
      </c>
      <c r="G34" s="144" t="s">
        <v>215</v>
      </c>
      <c r="H34" s="144"/>
      <c r="I34" s="144">
        <v>35</v>
      </c>
      <c r="J34" s="144"/>
      <c r="K34" s="144"/>
      <c r="L34" s="144">
        <f>SUM(Tabla1[[#This Row],[Desayuno C$ 25]:[Transporte]])</f>
        <v>35</v>
      </c>
    </row>
    <row r="35" spans="1:12" x14ac:dyDescent="0.25">
      <c r="A35" s="144">
        <v>210345</v>
      </c>
      <c r="B35" s="144" t="str">
        <f>+IFERROR(VLOOKUP(A35,Tabla2[#Data],2,0),"")</f>
        <v>ALEXANDER ALBERTO CAMPOS ESPINOZA</v>
      </c>
      <c r="C35" s="144" t="str">
        <f>+IFERROR(VLOOKUP(A35,Tabla2[#Data],3,0),"")</f>
        <v>Ayudante II M</v>
      </c>
      <c r="D35" s="144">
        <v>33</v>
      </c>
      <c r="E35" s="144">
        <v>43857</v>
      </c>
      <c r="F35" s="144" t="str">
        <f>+IFERROR(VLOOKUP(WEEKDAY(E35),Catalogo!$F$1:$G$7,2,0),"")</f>
        <v>LUNES</v>
      </c>
      <c r="G35" s="144" t="s">
        <v>292</v>
      </c>
      <c r="H35" s="144"/>
      <c r="I35" s="144">
        <v>65</v>
      </c>
      <c r="J35" s="144"/>
      <c r="K35" s="144"/>
      <c r="L35" s="144">
        <f>SUM(Tabla1[[#This Row],[Desayuno C$ 25]:[Transporte]])</f>
        <v>65</v>
      </c>
    </row>
    <row r="36" spans="1:12" x14ac:dyDescent="0.25">
      <c r="A36" s="144">
        <v>203428</v>
      </c>
      <c r="B36" s="144" t="str">
        <f>+IFERROR(VLOOKUP(A36,Tabla2[#Data],2,0),"")</f>
        <v>FERNANDO JOSE AYALA RIOS</v>
      </c>
      <c r="C36" s="144" t="str">
        <f>+IFERROR(VLOOKUP(A36,Tabla2[#Data],3,0),"")</f>
        <v>Ayudante II M</v>
      </c>
      <c r="D36" s="144">
        <v>34</v>
      </c>
      <c r="E36" s="144">
        <v>43857</v>
      </c>
      <c r="F36" s="144" t="str">
        <f>+IFERROR(VLOOKUP(WEEKDAY(E36),Catalogo!$F$1:$G$7,2,0),"")</f>
        <v>LUNES</v>
      </c>
      <c r="G36" s="144" t="s">
        <v>320</v>
      </c>
      <c r="H36" s="144"/>
      <c r="I36" s="144">
        <v>35</v>
      </c>
      <c r="J36" s="144"/>
      <c r="K36" s="144"/>
      <c r="L36" s="144">
        <f>SUM(Tabla1[[#This Row],[Desayuno C$ 25]:[Transporte]])</f>
        <v>35</v>
      </c>
    </row>
    <row r="37" spans="1:12" x14ac:dyDescent="0.25">
      <c r="A37" s="144">
        <v>209398</v>
      </c>
      <c r="B37" s="144" t="str">
        <f>+IFERROR(VLOOKUP(A37,Tabla2[#Data],2,0),"")</f>
        <v>KELVIN ENELSON MARADIAGA HERNANDEZ</v>
      </c>
      <c r="C37" s="144" t="str">
        <f>+IFERROR(VLOOKUP(A37,Tabla2[#Data],3,0),"")</f>
        <v>Ayudante II M</v>
      </c>
      <c r="D37" s="144">
        <v>35</v>
      </c>
      <c r="E37" s="144">
        <v>43857</v>
      </c>
      <c r="F37" s="144" t="str">
        <f>+IFERROR(VLOOKUP(WEEKDAY(E37),Catalogo!$F$1:$G$7,2,0),"")</f>
        <v>LUNES</v>
      </c>
      <c r="G37" s="144" t="s">
        <v>288</v>
      </c>
      <c r="H37" s="144"/>
      <c r="I37" s="144">
        <v>35</v>
      </c>
      <c r="J37" s="144"/>
      <c r="K37" s="144"/>
      <c r="L37" s="144">
        <f>SUM(Tabla1[[#This Row],[Desayuno C$ 25]:[Transporte]])</f>
        <v>35</v>
      </c>
    </row>
    <row r="38" spans="1:12" x14ac:dyDescent="0.25">
      <c r="A38" s="144">
        <v>213008</v>
      </c>
      <c r="B38" s="144" t="str">
        <f>+IFERROR(VLOOKUP(A38,Tabla2[#Data],2,0),"")</f>
        <v>AVENEGO MARTIN NAVARRO ROJAS</v>
      </c>
      <c r="C38" s="144" t="str">
        <f>+IFERROR(VLOOKUP(A38,Tabla2[#Data],3,0),"")</f>
        <v>Operador de Cabezal I</v>
      </c>
      <c r="D38" s="144">
        <v>36</v>
      </c>
      <c r="E38" s="144">
        <v>43857</v>
      </c>
      <c r="F38" s="144" t="str">
        <f>+IFERROR(VLOOKUP(WEEKDAY(E38),Catalogo!$F$1:$G$7,2,0),"")</f>
        <v>LUNES</v>
      </c>
      <c r="G38" s="144" t="s">
        <v>290</v>
      </c>
      <c r="H38" s="144"/>
      <c r="I38" s="144">
        <v>35</v>
      </c>
      <c r="J38" s="144"/>
      <c r="K38" s="144"/>
      <c r="L38" s="144">
        <f>SUM(Tabla1[[#This Row],[Desayuno C$ 25]:[Transporte]])</f>
        <v>35</v>
      </c>
    </row>
    <row r="39" spans="1:12" x14ac:dyDescent="0.25">
      <c r="A39" s="144">
        <v>202191</v>
      </c>
      <c r="B39" s="144" t="str">
        <f>+IFERROR(VLOOKUP(A39,Tabla2[#Data],2,0),"")</f>
        <v>FRANCISCO JAVIER ROMERO M.</v>
      </c>
      <c r="C39" s="144" t="str">
        <f>+IFERROR(VLOOKUP(A39,Tabla2[#Data],3,0),"")</f>
        <v>Operador de Cabezal I</v>
      </c>
      <c r="D39" s="144">
        <v>37</v>
      </c>
      <c r="E39" s="144">
        <v>43857</v>
      </c>
      <c r="F39" s="144" t="str">
        <f>+IFERROR(VLOOKUP(WEEKDAY(E39),Catalogo!$F$1:$G$7,2,0),"")</f>
        <v>LUNES</v>
      </c>
      <c r="G39" s="144" t="s">
        <v>290</v>
      </c>
      <c r="H39" s="144"/>
      <c r="I39" s="144">
        <v>35</v>
      </c>
      <c r="J39" s="144"/>
      <c r="K39" s="144"/>
      <c r="L39" s="144">
        <f>SUM(Tabla1[[#This Row],[Desayuno C$ 25]:[Transporte]])</f>
        <v>35</v>
      </c>
    </row>
    <row r="40" spans="1:12" x14ac:dyDescent="0.25">
      <c r="A40" s="144">
        <v>212383</v>
      </c>
      <c r="B40" s="144" t="str">
        <f>+IFERROR(VLOOKUP(A40,Tabla2[#Data],2,0),"")</f>
        <v>JOSE DOMINGO TERCERO HERNANDEZ</v>
      </c>
      <c r="C40" s="144" t="str">
        <f>+IFERROR(VLOOKUP(A40,Tabla2[#Data],3,0),"")</f>
        <v>Operador de Cabezal I</v>
      </c>
      <c r="D40" s="144">
        <v>38</v>
      </c>
      <c r="E40" s="144">
        <v>43857</v>
      </c>
      <c r="F40" s="144" t="str">
        <f>+IFERROR(VLOOKUP(WEEKDAY(E40),Catalogo!$F$1:$G$7,2,0),"")</f>
        <v>LUNES</v>
      </c>
      <c r="G40" s="144" t="s">
        <v>320</v>
      </c>
      <c r="H40" s="144"/>
      <c r="I40" s="144">
        <v>35</v>
      </c>
      <c r="J40" s="144"/>
      <c r="K40" s="144"/>
      <c r="L40" s="144">
        <f>SUM(Tabla1[[#This Row],[Desayuno C$ 25]:[Transporte]])</f>
        <v>35</v>
      </c>
    </row>
    <row r="41" spans="1:12" x14ac:dyDescent="0.25">
      <c r="A41" s="144">
        <v>212407</v>
      </c>
      <c r="B41" s="144" t="str">
        <f>+IFERROR(VLOOKUP(A41,Tabla2[#Data],2,0),"")</f>
        <v>LEONEL ANTONIO SANTOS MARTINEZ</v>
      </c>
      <c r="C41" s="144" t="str">
        <f>+IFERROR(VLOOKUP(A41,Tabla2[#Data],3,0),"")</f>
        <v>Operador de Cabezal I</v>
      </c>
      <c r="D41" s="144">
        <v>39</v>
      </c>
      <c r="E41" s="144">
        <v>43857</v>
      </c>
      <c r="F41" s="144" t="str">
        <f>+IFERROR(VLOOKUP(WEEKDAY(E41),Catalogo!$F$1:$G$7,2,0),"")</f>
        <v>LUNES</v>
      </c>
      <c r="G41" s="144" t="s">
        <v>320</v>
      </c>
      <c r="H41" s="144"/>
      <c r="I41" s="144">
        <v>35</v>
      </c>
      <c r="J41" s="144"/>
      <c r="K41" s="144"/>
      <c r="L41" s="144">
        <f>SUM(Tabla1[[#This Row],[Desayuno C$ 25]:[Transporte]])</f>
        <v>35</v>
      </c>
    </row>
    <row r="42" spans="1:12" x14ac:dyDescent="0.25">
      <c r="A42" s="144">
        <v>213002</v>
      </c>
      <c r="B42" s="144" t="str">
        <f>+IFERROR(VLOOKUP(A42,Tabla2[#Data],2,0),"")</f>
        <v>WILBERTH JACOBO SOMARRIBA ESPINOZA</v>
      </c>
      <c r="C42" s="144" t="str">
        <f>+IFERROR(VLOOKUP(A42,Tabla2[#Data],3,0),"")</f>
        <v>Operador de Cabezal I</v>
      </c>
      <c r="D42" s="144">
        <v>40</v>
      </c>
      <c r="E42" s="144">
        <v>43857</v>
      </c>
      <c r="F42" s="144" t="str">
        <f>+IFERROR(VLOOKUP(WEEKDAY(E42),Catalogo!$F$1:$G$7,2,0),"")</f>
        <v>LUNES</v>
      </c>
      <c r="G42" s="144" t="s">
        <v>293</v>
      </c>
      <c r="H42" s="144"/>
      <c r="I42" s="144">
        <v>65</v>
      </c>
      <c r="J42" s="144"/>
      <c r="K42" s="144"/>
      <c r="L42" s="144">
        <f>SUM(Tabla1[[#This Row],[Desayuno C$ 25]:[Transporte]])</f>
        <v>65</v>
      </c>
    </row>
    <row r="43" spans="1:12" x14ac:dyDescent="0.25">
      <c r="A43" s="144">
        <v>206970</v>
      </c>
      <c r="B43" s="144" t="str">
        <f>+IFERROR(VLOOKUP(A43,Tabla2[#Data],2,0),"")</f>
        <v>BAYARDO ANTONIO FLORES REYES</v>
      </c>
      <c r="C43" s="144" t="str">
        <f>+IFERROR(VLOOKUP(A43,Tabla2[#Data],3,0),"")</f>
        <v>Operador de Maquinaria Pesada II</v>
      </c>
      <c r="D43" s="144">
        <v>41</v>
      </c>
      <c r="E43" s="144">
        <v>43857</v>
      </c>
      <c r="F43" s="144" t="str">
        <f>+IFERROR(VLOOKUP(WEEKDAY(E43),Catalogo!$F$1:$G$7,2,0),"")</f>
        <v>LUNES</v>
      </c>
      <c r="G43" s="144" t="s">
        <v>320</v>
      </c>
      <c r="H43" s="144"/>
      <c r="I43" s="144">
        <v>35</v>
      </c>
      <c r="J43" s="144"/>
      <c r="K43" s="144"/>
      <c r="L43" s="144">
        <f>SUM(Tabla1[[#This Row],[Desayuno C$ 25]:[Transporte]])</f>
        <v>35</v>
      </c>
    </row>
    <row r="44" spans="1:12" x14ac:dyDescent="0.25">
      <c r="A44" s="144">
        <v>204854</v>
      </c>
      <c r="B44" s="144" t="str">
        <f>+IFERROR(VLOOKUP(A44,Tabla2[#Data],2,0),"")</f>
        <v>BENITO NUÑEZ VIDAURRE</v>
      </c>
      <c r="C44" s="144" t="str">
        <f>+IFERROR(VLOOKUP(A44,Tabla2[#Data],3,0),"")</f>
        <v>Operador de Maquinaria Pesada I</v>
      </c>
      <c r="D44" s="144">
        <v>42</v>
      </c>
      <c r="E44" s="144">
        <v>43857</v>
      </c>
      <c r="F44" s="144" t="str">
        <f>+IFERROR(VLOOKUP(WEEKDAY(E44),Catalogo!$F$1:$G$7,2,0),"")</f>
        <v>LUNES</v>
      </c>
      <c r="G44" s="144" t="s">
        <v>320</v>
      </c>
      <c r="H44" s="144"/>
      <c r="I44" s="144">
        <v>35</v>
      </c>
      <c r="J44" s="144"/>
      <c r="K44" s="144"/>
      <c r="L44" s="144">
        <f>SUM(Tabla1[[#This Row],[Desayuno C$ 25]:[Transporte]])</f>
        <v>35</v>
      </c>
    </row>
    <row r="45" spans="1:12" x14ac:dyDescent="0.25">
      <c r="A45" s="144">
        <v>206988</v>
      </c>
      <c r="B45" s="144" t="str">
        <f>+IFERROR(VLOOKUP(A45,Tabla2[#Data],2,0),"")</f>
        <v>EVERT FRANCISCO RAYO PINEDA</v>
      </c>
      <c r="C45" s="144" t="str">
        <f>+IFERROR(VLOOKUP(A45,Tabla2[#Data],3,0),"")</f>
        <v>Operador de Maquinaria Pesada I</v>
      </c>
      <c r="D45" s="144">
        <v>43</v>
      </c>
      <c r="E45" s="144">
        <v>43857</v>
      </c>
      <c r="F45" s="144" t="str">
        <f>+IFERROR(VLOOKUP(WEEKDAY(E45),Catalogo!$F$1:$G$7,2,0),"")</f>
        <v>LUNES</v>
      </c>
      <c r="G45" s="144" t="s">
        <v>320</v>
      </c>
      <c r="H45" s="144"/>
      <c r="I45" s="144">
        <v>35</v>
      </c>
      <c r="J45" s="144"/>
      <c r="K45" s="144"/>
      <c r="L45" s="144">
        <f>SUM(Tabla1[[#This Row],[Desayuno C$ 25]:[Transporte]])</f>
        <v>35</v>
      </c>
    </row>
    <row r="46" spans="1:12" x14ac:dyDescent="0.25">
      <c r="A46" s="144">
        <v>202280</v>
      </c>
      <c r="B46" s="144" t="str">
        <f>+IFERROR(VLOOKUP(A46,Tabla2[#Data],2,0),"")</f>
        <v>FILIBERTO JESUS VARELA HERRERA</v>
      </c>
      <c r="C46" s="144" t="str">
        <f>+IFERROR(VLOOKUP(A46,Tabla2[#Data],3,0),"")</f>
        <v>Operador de Maquinaria Pesada I</v>
      </c>
      <c r="D46" s="144">
        <v>44</v>
      </c>
      <c r="E46" s="144">
        <v>43857</v>
      </c>
      <c r="F46" s="144" t="str">
        <f>+IFERROR(VLOOKUP(WEEKDAY(E46),Catalogo!$F$1:$G$7,2,0),"")</f>
        <v>LUNES</v>
      </c>
      <c r="G46" s="144" t="s">
        <v>216</v>
      </c>
      <c r="H46" s="144"/>
      <c r="I46" s="144">
        <v>35</v>
      </c>
      <c r="J46" s="144"/>
      <c r="K46" s="144"/>
      <c r="L46" s="144">
        <f>SUM(Tabla1[[#This Row],[Desayuno C$ 25]:[Transporte]])</f>
        <v>35</v>
      </c>
    </row>
    <row r="47" spans="1:12" x14ac:dyDescent="0.25">
      <c r="A47" s="144">
        <v>213380</v>
      </c>
      <c r="B47" s="144" t="str">
        <f>+IFERROR(VLOOKUP(A47,Tabla2[#Data],2,0),"")</f>
        <v>GERARDO JOSE MEZA</v>
      </c>
      <c r="C47" s="144" t="str">
        <f>+IFERROR(VLOOKUP(A47,Tabla2[#Data],3,0),"")</f>
        <v>Operador de Maquinaria Pesada I</v>
      </c>
      <c r="D47" s="144">
        <v>45</v>
      </c>
      <c r="E47" s="144">
        <v>43857</v>
      </c>
      <c r="F47" s="144" t="str">
        <f>+IFERROR(VLOOKUP(WEEKDAY(E47),Catalogo!$F$1:$G$7,2,0),"")</f>
        <v>LUNES</v>
      </c>
      <c r="G47" s="144" t="s">
        <v>320</v>
      </c>
      <c r="H47" s="144"/>
      <c r="I47" s="144">
        <v>35</v>
      </c>
      <c r="J47" s="144"/>
      <c r="K47" s="144"/>
      <c r="L47" s="144">
        <f>SUM(Tabla1[[#This Row],[Desayuno C$ 25]:[Transporte]])</f>
        <v>35</v>
      </c>
    </row>
    <row r="48" spans="1:12" x14ac:dyDescent="0.25">
      <c r="A48" s="144">
        <v>202121</v>
      </c>
      <c r="B48" s="144" t="str">
        <f>+IFERROR(VLOOKUP(A48,Tabla2[#Data],2,0),"")</f>
        <v>LUIS DE JESUS TORREZ TORREZ</v>
      </c>
      <c r="C48" s="144" t="str">
        <f>+IFERROR(VLOOKUP(A48,Tabla2[#Data],3,0),"")</f>
        <v>Operador de Maquinaria Pesada II</v>
      </c>
      <c r="D48" s="144">
        <v>46</v>
      </c>
      <c r="E48" s="144">
        <v>43857</v>
      </c>
      <c r="F48" s="144" t="str">
        <f>+IFERROR(VLOOKUP(WEEKDAY(E48),Catalogo!$F$1:$G$7,2,0),"")</f>
        <v>LUNES</v>
      </c>
      <c r="G48" s="144" t="s">
        <v>288</v>
      </c>
      <c r="H48" s="144"/>
      <c r="I48" s="144">
        <v>35</v>
      </c>
      <c r="J48" s="144"/>
      <c r="K48" s="144"/>
      <c r="L48" s="144">
        <f>SUM(Tabla1[[#This Row],[Desayuno C$ 25]:[Transporte]])</f>
        <v>35</v>
      </c>
    </row>
    <row r="49" spans="1:12" x14ac:dyDescent="0.25">
      <c r="A49" s="144">
        <v>210471</v>
      </c>
      <c r="B49" s="144" t="str">
        <f>+IFERROR(VLOOKUP(A49,Tabla2[#Data],2,0),"")</f>
        <v>REYNALDO JOSE RIVERA MARTINEZ</v>
      </c>
      <c r="C49" s="144" t="str">
        <f>+IFERROR(VLOOKUP(A49,Tabla2[#Data],3,0),"")</f>
        <v>Operador de Maquinaria Pesada III</v>
      </c>
      <c r="D49" s="144">
        <v>47</v>
      </c>
      <c r="E49" s="144">
        <v>43857</v>
      </c>
      <c r="F49" s="144" t="str">
        <f>+IFERROR(VLOOKUP(WEEKDAY(E49),Catalogo!$F$1:$G$7,2,0),"")</f>
        <v>LUNES</v>
      </c>
      <c r="G49" s="144" t="s">
        <v>320</v>
      </c>
      <c r="H49" s="144"/>
      <c r="I49" s="144">
        <v>35</v>
      </c>
      <c r="J49" s="144"/>
      <c r="K49" s="144"/>
      <c r="L49" s="144">
        <f>SUM(Tabla1[[#This Row],[Desayuno C$ 25]:[Transporte]])</f>
        <v>35</v>
      </c>
    </row>
    <row r="50" spans="1:12" x14ac:dyDescent="0.25">
      <c r="A50" s="144">
        <v>204112</v>
      </c>
      <c r="B50" s="144" t="str">
        <f>+IFERROR(VLOOKUP(A50,Tabla2[#Data],2,0),"")</f>
        <v>VICENTE DE JESUS ROMERO LANZAS</v>
      </c>
      <c r="C50" s="144" t="str">
        <f>+IFERROR(VLOOKUP(A50,Tabla2[#Data],3,0),"")</f>
        <v>Operador de Maquinaria Pesada II</v>
      </c>
      <c r="D50" s="144">
        <v>48</v>
      </c>
      <c r="E50" s="144">
        <v>43857</v>
      </c>
      <c r="F50" s="144" t="str">
        <f>+IFERROR(VLOOKUP(WEEKDAY(E50),Catalogo!$F$1:$G$7,2,0),"")</f>
        <v>LUNES</v>
      </c>
      <c r="G50" s="144" t="s">
        <v>320</v>
      </c>
      <c r="H50" s="144"/>
      <c r="I50" s="144">
        <v>35</v>
      </c>
      <c r="J50" s="144"/>
      <c r="K50" s="144"/>
      <c r="L50" s="144">
        <f>SUM(Tabla1[[#This Row],[Desayuno C$ 25]:[Transporte]])</f>
        <v>35</v>
      </c>
    </row>
    <row r="51" spans="1:12" x14ac:dyDescent="0.25">
      <c r="A51" s="144">
        <v>211419</v>
      </c>
      <c r="B51" s="144" t="str">
        <f>+IFERROR(VLOOKUP(A51,Tabla2[#Data],2,0),"")</f>
        <v>ALFREDO CESAR VALLADAREZ AGUILERA</v>
      </c>
      <c r="C51" s="144" t="str">
        <f>+IFERROR(VLOOKUP(A51,Tabla2[#Data],3,0),"")</f>
        <v>Auxiliar de patio de caña</v>
      </c>
      <c r="D51" s="144">
        <v>49</v>
      </c>
      <c r="E51" s="144">
        <v>43858</v>
      </c>
      <c r="F51" s="144" t="str">
        <f>+IFERROR(VLOOKUP(WEEKDAY(E51),Catalogo!$F$1:$G$7,2,0),"")</f>
        <v>MARTES</v>
      </c>
      <c r="G51" s="144" t="s">
        <v>215</v>
      </c>
      <c r="H51" s="144"/>
      <c r="I51" s="144">
        <v>35</v>
      </c>
      <c r="J51" s="144"/>
      <c r="K51" s="144"/>
      <c r="L51" s="144">
        <f>SUM(Tabla1[[#This Row],[Desayuno C$ 25]:[Transporte]])</f>
        <v>35</v>
      </c>
    </row>
    <row r="52" spans="1:12" x14ac:dyDescent="0.25">
      <c r="A52" s="144">
        <v>211475</v>
      </c>
      <c r="B52" s="144" t="str">
        <f>+IFERROR(VLOOKUP(A52,Tabla2[#Data],2,0),"")</f>
        <v>FREDDYS JOSUE AGUILERA ANDRADE</v>
      </c>
      <c r="C52" s="144" t="str">
        <f>+IFERROR(VLOOKUP(A52,Tabla2[#Data],3,0),"")</f>
        <v>Auxiliar de Patio de Caña</v>
      </c>
      <c r="D52" s="144">
        <v>50</v>
      </c>
      <c r="E52" s="144">
        <v>43858</v>
      </c>
      <c r="F52" s="144" t="str">
        <f>+IFERROR(VLOOKUP(WEEKDAY(E52),Catalogo!$F$1:$G$7,2,0),"")</f>
        <v>MARTES</v>
      </c>
      <c r="G52" s="144" t="s">
        <v>290</v>
      </c>
      <c r="H52" s="144"/>
      <c r="I52" s="144">
        <v>35</v>
      </c>
      <c r="J52" s="144"/>
      <c r="K52" s="144"/>
      <c r="L52" s="144">
        <f>SUM(Tabla1[[#This Row],[Desayuno C$ 25]:[Transporte]])</f>
        <v>35</v>
      </c>
    </row>
    <row r="53" spans="1:12" x14ac:dyDescent="0.25">
      <c r="A53" s="144">
        <v>210345</v>
      </c>
      <c r="B53" s="144" t="str">
        <f>+IFERROR(VLOOKUP(A53,Tabla2[#Data],2,0),"")</f>
        <v>ALEXANDER ALBERTO CAMPOS ESPINOZA</v>
      </c>
      <c r="C53" s="144" t="str">
        <f>+IFERROR(VLOOKUP(A53,Tabla2[#Data],3,0),"")</f>
        <v>Ayudante II M</v>
      </c>
      <c r="D53" s="144">
        <v>51</v>
      </c>
      <c r="E53" s="144">
        <v>43858</v>
      </c>
      <c r="F53" s="144" t="str">
        <f>+IFERROR(VLOOKUP(WEEKDAY(E53),Catalogo!$F$1:$G$7,2,0),"")</f>
        <v>MARTES</v>
      </c>
      <c r="G53" s="144" t="s">
        <v>290</v>
      </c>
      <c r="H53" s="144"/>
      <c r="I53" s="144">
        <v>35</v>
      </c>
      <c r="J53" s="144"/>
      <c r="K53" s="144"/>
      <c r="L53" s="144">
        <f>SUM(Tabla1[[#This Row],[Desayuno C$ 25]:[Transporte]])</f>
        <v>35</v>
      </c>
    </row>
    <row r="54" spans="1:12" x14ac:dyDescent="0.25">
      <c r="A54" s="144">
        <v>209398</v>
      </c>
      <c r="B54" s="144" t="str">
        <f>+IFERROR(VLOOKUP(A54,Tabla2[#Data],2,0),"")</f>
        <v>KELVIN ENELSON MARADIAGA HERNANDEZ</v>
      </c>
      <c r="C54" s="144" t="str">
        <f>+IFERROR(VLOOKUP(A54,Tabla2[#Data],3,0),"")</f>
        <v>Ayudante II M</v>
      </c>
      <c r="D54" s="144">
        <v>52</v>
      </c>
      <c r="E54" s="144">
        <v>43858</v>
      </c>
      <c r="F54" s="144" t="str">
        <f>+IFERROR(VLOOKUP(WEEKDAY(E54),Catalogo!$F$1:$G$7,2,0),"")</f>
        <v>MARTES</v>
      </c>
      <c r="G54" s="144" t="s">
        <v>320</v>
      </c>
      <c r="H54" s="144"/>
      <c r="I54" s="144">
        <v>35</v>
      </c>
      <c r="J54" s="144"/>
      <c r="K54" s="144"/>
      <c r="L54" s="144">
        <f>SUM(Tabla1[[#This Row],[Desayuno C$ 25]:[Transporte]])</f>
        <v>35</v>
      </c>
    </row>
    <row r="55" spans="1:12" x14ac:dyDescent="0.25">
      <c r="A55" s="144">
        <v>212383</v>
      </c>
      <c r="B55" s="144" t="str">
        <f>+IFERROR(VLOOKUP(A55,Tabla2[#Data],2,0),"")</f>
        <v>JOSE DOMINGO TERCERO HERNANDEZ</v>
      </c>
      <c r="C55" s="144" t="str">
        <f>+IFERROR(VLOOKUP(A55,Tabla2[#Data],3,0),"")</f>
        <v>Operador de Cabezal I</v>
      </c>
      <c r="D55" s="144">
        <v>53</v>
      </c>
      <c r="E55" s="144">
        <v>43858</v>
      </c>
      <c r="F55" s="144" t="str">
        <f>+IFERROR(VLOOKUP(WEEKDAY(E55),Catalogo!$F$1:$G$7,2,0),"")</f>
        <v>MARTES</v>
      </c>
      <c r="G55" s="144" t="s">
        <v>320</v>
      </c>
      <c r="H55" s="144"/>
      <c r="I55" s="144">
        <v>35</v>
      </c>
      <c r="J55" s="144"/>
      <c r="K55" s="144"/>
      <c r="L55" s="144">
        <f>SUM(Tabla1[[#This Row],[Desayuno C$ 25]:[Transporte]])</f>
        <v>35</v>
      </c>
    </row>
    <row r="56" spans="1:12" x14ac:dyDescent="0.25">
      <c r="A56" s="144">
        <v>206970</v>
      </c>
      <c r="B56" s="144" t="str">
        <f>+IFERROR(VLOOKUP(A56,Tabla2[#Data],2,0),"")</f>
        <v>BAYARDO ANTONIO FLORES REYES</v>
      </c>
      <c r="C56" s="144" t="str">
        <f>+IFERROR(VLOOKUP(A56,Tabla2[#Data],3,0),"")</f>
        <v>Operador de Maquinaria Pesada II</v>
      </c>
      <c r="D56" s="144">
        <v>54</v>
      </c>
      <c r="E56" s="144">
        <v>43858</v>
      </c>
      <c r="F56" s="144" t="str">
        <f>+IFERROR(VLOOKUP(WEEKDAY(E56),Catalogo!$F$1:$G$7,2,0),"")</f>
        <v>MARTES</v>
      </c>
      <c r="G56" s="144" t="s">
        <v>320</v>
      </c>
      <c r="H56" s="144"/>
      <c r="I56" s="144">
        <v>35</v>
      </c>
      <c r="J56" s="144"/>
      <c r="K56" s="144"/>
      <c r="L56" s="144">
        <f>SUM(Tabla1[[#This Row],[Desayuno C$ 25]:[Transporte]])</f>
        <v>35</v>
      </c>
    </row>
    <row r="57" spans="1:12" x14ac:dyDescent="0.25">
      <c r="A57" s="144">
        <v>204854</v>
      </c>
      <c r="B57" s="144" t="str">
        <f>+IFERROR(VLOOKUP(A57,Tabla2[#Data],2,0),"")</f>
        <v>BENITO NUÑEZ VIDAURRE</v>
      </c>
      <c r="C57" s="144" t="str">
        <f>+IFERROR(VLOOKUP(A57,Tabla2[#Data],3,0),"")</f>
        <v>Operador de Maquinaria Pesada I</v>
      </c>
      <c r="D57" s="144">
        <v>55</v>
      </c>
      <c r="E57" s="144">
        <v>43858</v>
      </c>
      <c r="F57" s="144" t="str">
        <f>+IFERROR(VLOOKUP(WEEKDAY(E57),Catalogo!$F$1:$G$7,2,0),"")</f>
        <v>MARTES</v>
      </c>
      <c r="G57" s="144" t="s">
        <v>320</v>
      </c>
      <c r="H57" s="144"/>
      <c r="I57" s="144">
        <v>35</v>
      </c>
      <c r="J57" s="144"/>
      <c r="K57" s="144"/>
      <c r="L57" s="144">
        <f>SUM(Tabla1[[#This Row],[Desayuno C$ 25]:[Transporte]])</f>
        <v>35</v>
      </c>
    </row>
    <row r="58" spans="1:12" x14ac:dyDescent="0.25">
      <c r="A58" s="144">
        <v>206988</v>
      </c>
      <c r="B58" s="144" t="str">
        <f>+IFERROR(VLOOKUP(A58,Tabla2[#Data],2,0),"")</f>
        <v>EVERT FRANCISCO RAYO PINEDA</v>
      </c>
      <c r="C58" s="144" t="str">
        <f>+IFERROR(VLOOKUP(A58,Tabla2[#Data],3,0),"")</f>
        <v>Operador de Maquinaria Pesada I</v>
      </c>
      <c r="D58" s="144">
        <v>56</v>
      </c>
      <c r="E58" s="144">
        <v>43858</v>
      </c>
      <c r="F58" s="144" t="str">
        <f>+IFERROR(VLOOKUP(WEEKDAY(E58),Catalogo!$F$1:$G$7,2,0),"")</f>
        <v>MARTES</v>
      </c>
      <c r="G58" s="144" t="s">
        <v>320</v>
      </c>
      <c r="H58" s="144"/>
      <c r="I58" s="144">
        <v>35</v>
      </c>
      <c r="J58" s="144"/>
      <c r="K58" s="144"/>
      <c r="L58" s="144">
        <f>SUM(Tabla1[[#This Row],[Desayuno C$ 25]:[Transporte]])</f>
        <v>35</v>
      </c>
    </row>
    <row r="59" spans="1:12" x14ac:dyDescent="0.25">
      <c r="A59" s="144">
        <v>202121</v>
      </c>
      <c r="B59" s="144" t="str">
        <f>+IFERROR(VLOOKUP(A59,Tabla2[#Data],2,0),"")</f>
        <v>LUIS DE JESUS TORREZ TORREZ</v>
      </c>
      <c r="C59" s="144" t="str">
        <f>+IFERROR(VLOOKUP(A59,Tabla2[#Data],3,0),"")</f>
        <v>Operador de Maquinaria Pesada II</v>
      </c>
      <c r="D59" s="144">
        <v>57</v>
      </c>
      <c r="E59" s="144">
        <v>43858</v>
      </c>
      <c r="F59" s="144" t="str">
        <f>+IFERROR(VLOOKUP(WEEKDAY(E59),Catalogo!$F$1:$G$7,2,0),"")</f>
        <v>MARTES</v>
      </c>
      <c r="G59" s="144" t="s">
        <v>290</v>
      </c>
      <c r="H59" s="144"/>
      <c r="I59" s="144">
        <v>35</v>
      </c>
      <c r="J59" s="144"/>
      <c r="K59" s="144"/>
      <c r="L59" s="144">
        <f>SUM(Tabla1[[#This Row],[Desayuno C$ 25]:[Transporte]])</f>
        <v>35</v>
      </c>
    </row>
    <row r="60" spans="1:12" x14ac:dyDescent="0.25">
      <c r="A60" s="144">
        <v>212244</v>
      </c>
      <c r="B60" s="144" t="str">
        <f>+IFERROR(VLOOKUP(A60,Tabla2[#Data],2,0),"")</f>
        <v>LUIS MANUEL HERRERA MONDRAGON</v>
      </c>
      <c r="C60" s="144" t="str">
        <f>+IFERROR(VLOOKUP(A60,Tabla2[#Data],3,0),"")</f>
        <v>Operador de Maquinaria Pesada III</v>
      </c>
      <c r="D60" s="144">
        <v>58</v>
      </c>
      <c r="E60" s="144">
        <v>43858</v>
      </c>
      <c r="F60" s="144" t="str">
        <f>+IFERROR(VLOOKUP(WEEKDAY(E60),Catalogo!$F$1:$G$7,2,0),"")</f>
        <v>MARTES</v>
      </c>
      <c r="G60" s="144" t="s">
        <v>320</v>
      </c>
      <c r="H60" s="144"/>
      <c r="I60" s="144">
        <v>35</v>
      </c>
      <c r="J60" s="144"/>
      <c r="K60" s="144"/>
      <c r="L60" s="144">
        <f>SUM(Tabla1[[#This Row],[Desayuno C$ 25]:[Transporte]])</f>
        <v>35</v>
      </c>
    </row>
    <row r="61" spans="1:12" x14ac:dyDescent="0.25">
      <c r="A61" s="144">
        <v>210471</v>
      </c>
      <c r="B61" s="144" t="str">
        <f>+IFERROR(VLOOKUP(A61,Tabla2[#Data],2,0),"")</f>
        <v>REYNALDO JOSE RIVERA MARTINEZ</v>
      </c>
      <c r="C61" s="144" t="str">
        <f>+IFERROR(VLOOKUP(A61,Tabla2[#Data],3,0),"")</f>
        <v>Operador de Maquinaria Pesada III</v>
      </c>
      <c r="D61" s="144">
        <v>59</v>
      </c>
      <c r="E61" s="144">
        <v>43858</v>
      </c>
      <c r="F61" s="144" t="str">
        <f>+IFERROR(VLOOKUP(WEEKDAY(E61),Catalogo!$F$1:$G$7,2,0),"")</f>
        <v>MARTES</v>
      </c>
      <c r="G61" s="144" t="s">
        <v>320</v>
      </c>
      <c r="H61" s="144"/>
      <c r="I61" s="144">
        <v>35</v>
      </c>
      <c r="J61" s="144"/>
      <c r="K61" s="144"/>
      <c r="L61" s="144">
        <f>SUM(Tabla1[[#This Row],[Desayuno C$ 25]:[Transporte]])</f>
        <v>35</v>
      </c>
    </row>
    <row r="62" spans="1:12" x14ac:dyDescent="0.25">
      <c r="A62" s="144">
        <v>204112</v>
      </c>
      <c r="B62" s="144" t="str">
        <f>+IFERROR(VLOOKUP(A62,Tabla2[#Data],2,0),"")</f>
        <v>VICENTE DE JESUS ROMERO LANZAS</v>
      </c>
      <c r="C62" s="144" t="str">
        <f>+IFERROR(VLOOKUP(A62,Tabla2[#Data],3,0),"")</f>
        <v>Operador de Maquinaria Pesada II</v>
      </c>
      <c r="D62" s="144">
        <v>60</v>
      </c>
      <c r="E62" s="144">
        <v>43858</v>
      </c>
      <c r="F62" s="144" t="str">
        <f>+IFERROR(VLOOKUP(WEEKDAY(E62),Catalogo!$F$1:$G$7,2,0),"")</f>
        <v>MARTES</v>
      </c>
      <c r="G62" s="144" t="s">
        <v>320</v>
      </c>
      <c r="H62" s="144"/>
      <c r="I62" s="144">
        <v>35</v>
      </c>
      <c r="J62" s="144"/>
      <c r="K62" s="144"/>
      <c r="L62" s="144">
        <f>SUM(Tabla1[[#This Row],[Desayuno C$ 25]:[Transporte]])</f>
        <v>35</v>
      </c>
    </row>
    <row r="63" spans="1:12" x14ac:dyDescent="0.25">
      <c r="A63" s="144">
        <v>209780</v>
      </c>
      <c r="B63" s="144" t="str">
        <f>+IFERROR(VLOOKUP(A63,Tabla2[#Data],2,0),"")</f>
        <v>LUIS ADOLFO BARRERA AYALA</v>
      </c>
      <c r="C63" s="144" t="str">
        <f>+IFERROR(VLOOKUP(A63,Tabla2[#Data],3,0),"")</f>
        <v>Operador de Maquinaria Pesada III</v>
      </c>
      <c r="D63" s="144">
        <v>61</v>
      </c>
      <c r="E63" s="144">
        <v>43858</v>
      </c>
      <c r="F63" s="144" t="str">
        <f>+IFERROR(VLOOKUP(WEEKDAY(E63),Catalogo!$F$1:$G$7,2,0),"")</f>
        <v>MARTES</v>
      </c>
      <c r="G63" s="144" t="s">
        <v>320</v>
      </c>
      <c r="H63" s="144"/>
      <c r="I63" s="144">
        <v>35</v>
      </c>
      <c r="J63" s="144"/>
      <c r="K63" s="144"/>
      <c r="L63" s="144">
        <f>SUM(Tabla1[[#This Row],[Desayuno C$ 25]:[Transporte]])</f>
        <v>35</v>
      </c>
    </row>
    <row r="64" spans="1:12" x14ac:dyDescent="0.25">
      <c r="A64" s="144">
        <v>203428</v>
      </c>
      <c r="B64" s="144" t="str">
        <f>+IFERROR(VLOOKUP(A64,Tabla2[#Data],2,0),"")</f>
        <v>FERNANDO JOSE AYALA RIOS</v>
      </c>
      <c r="C64" s="144" t="str">
        <f>+IFERROR(VLOOKUP(A64,Tabla2[#Data],3,0),"")</f>
        <v>Ayudante II M</v>
      </c>
      <c r="D64" s="144">
        <v>62</v>
      </c>
      <c r="E64" s="144">
        <v>43858</v>
      </c>
      <c r="F64" s="144" t="str">
        <f>+IFERROR(VLOOKUP(WEEKDAY(E64),Catalogo!$F$1:$G$7,2,0),"")</f>
        <v>MARTES</v>
      </c>
      <c r="G64" s="144" t="s">
        <v>320</v>
      </c>
      <c r="H64" s="144"/>
      <c r="I64" s="144">
        <v>35</v>
      </c>
      <c r="J64" s="144"/>
      <c r="K64" s="144"/>
      <c r="L64" s="144">
        <f>SUM(Tabla1[[#This Row],[Desayuno C$ 25]:[Transporte]])</f>
        <v>35</v>
      </c>
    </row>
    <row r="65" spans="1:12" x14ac:dyDescent="0.25">
      <c r="A65" s="144">
        <v>211419</v>
      </c>
      <c r="B65" s="144" t="str">
        <f>+IFERROR(VLOOKUP(A65,Tabla2[#Data],2,0),"")</f>
        <v>ALFREDO CESAR VALLADAREZ AGUILERA</v>
      </c>
      <c r="C65" s="144" t="str">
        <f>+IFERROR(VLOOKUP(A65,Tabla2[#Data],3,0),"")</f>
        <v>Auxiliar de patio de caña</v>
      </c>
      <c r="D65" s="144">
        <v>63</v>
      </c>
      <c r="E65" s="144">
        <v>43859</v>
      </c>
      <c r="F65" s="144" t="str">
        <f>+IFERROR(VLOOKUP(WEEKDAY(E65),Catalogo!$F$1:$G$7,2,0),"")</f>
        <v>MIÉRCOLES</v>
      </c>
      <c r="G65" s="144" t="s">
        <v>215</v>
      </c>
      <c r="H65" s="144"/>
      <c r="I65" s="144">
        <v>35</v>
      </c>
      <c r="J65" s="144"/>
      <c r="K65" s="144"/>
      <c r="L65" s="144">
        <f>SUM(Tabla1[[#This Row],[Desayuno C$ 25]:[Transporte]])</f>
        <v>35</v>
      </c>
    </row>
    <row r="66" spans="1:12" x14ac:dyDescent="0.25">
      <c r="A66" s="144">
        <v>211475</v>
      </c>
      <c r="B66" s="144" t="str">
        <f>+IFERROR(VLOOKUP(A66,Tabla2[#Data],2,0),"")</f>
        <v>FREDDYS JOSUE AGUILERA ANDRADE</v>
      </c>
      <c r="C66" s="144" t="str">
        <f>+IFERROR(VLOOKUP(A66,Tabla2[#Data],3,0),"")</f>
        <v>Auxiliar de Patio de Caña</v>
      </c>
      <c r="D66" s="144">
        <v>64</v>
      </c>
      <c r="E66" s="144">
        <v>43859</v>
      </c>
      <c r="F66" s="144" t="str">
        <f>+IFERROR(VLOOKUP(WEEKDAY(E66),Catalogo!$F$1:$G$7,2,0),"")</f>
        <v>MIÉRCOLES</v>
      </c>
      <c r="G66" s="144" t="s">
        <v>292</v>
      </c>
      <c r="H66" s="144"/>
      <c r="I66" s="144">
        <v>65</v>
      </c>
      <c r="J66" s="144"/>
      <c r="K66" s="144"/>
      <c r="L66" s="144">
        <f>SUM(Tabla1[[#This Row],[Desayuno C$ 25]:[Transporte]])</f>
        <v>65</v>
      </c>
    </row>
    <row r="67" spans="1:12" x14ac:dyDescent="0.25">
      <c r="A67" s="144">
        <v>207318</v>
      </c>
      <c r="B67" s="144" t="str">
        <f>+IFERROR(VLOOKUP(A67,Tabla2[#Data],2,0),"")</f>
        <v>HARRISON WILFREDO OLIVERA MENDOZA</v>
      </c>
      <c r="C67" s="144" t="str">
        <f>+IFERROR(VLOOKUP(A67,Tabla2[#Data],3,0),"")</f>
        <v>Ayudante II M</v>
      </c>
      <c r="D67" s="144">
        <v>65</v>
      </c>
      <c r="E67" s="144">
        <v>43859</v>
      </c>
      <c r="F67" s="144" t="str">
        <f>+IFERROR(VLOOKUP(WEEKDAY(E67),Catalogo!$F$1:$G$7,2,0),"")</f>
        <v>MIÉRCOLES</v>
      </c>
      <c r="G67" s="144" t="s">
        <v>292</v>
      </c>
      <c r="H67" s="144"/>
      <c r="I67" s="144">
        <v>65</v>
      </c>
      <c r="J67" s="144"/>
      <c r="K67" s="144"/>
      <c r="L67" s="144">
        <f>SUM(Tabla1[[#This Row],[Desayuno C$ 25]:[Transporte]])</f>
        <v>65</v>
      </c>
    </row>
    <row r="68" spans="1:12" x14ac:dyDescent="0.25">
      <c r="A68" s="144">
        <v>213008</v>
      </c>
      <c r="B68" s="144" t="str">
        <f>+IFERROR(VLOOKUP(A68,Tabla2[#Data],2,0),"")</f>
        <v>AVENEGO MARTIN NAVARRO ROJAS</v>
      </c>
      <c r="C68" s="144" t="str">
        <f>+IFERROR(VLOOKUP(A68,Tabla2[#Data],3,0),"")</f>
        <v>Operador de Cabezal I</v>
      </c>
      <c r="D68" s="144">
        <v>66</v>
      </c>
      <c r="E68" s="144">
        <v>43859</v>
      </c>
      <c r="F68" s="144" t="str">
        <f>+IFERROR(VLOOKUP(WEEKDAY(E68),Catalogo!$F$1:$G$7,2,0),"")</f>
        <v>MIÉRCOLES</v>
      </c>
      <c r="G68" s="144" t="s">
        <v>292</v>
      </c>
      <c r="H68" s="144"/>
      <c r="I68" s="144">
        <v>65</v>
      </c>
      <c r="J68" s="144"/>
      <c r="K68" s="144"/>
      <c r="L68" s="144">
        <f>SUM(Tabla1[[#This Row],[Desayuno C$ 25]:[Transporte]])</f>
        <v>65</v>
      </c>
    </row>
    <row r="69" spans="1:12" x14ac:dyDescent="0.25">
      <c r="A69" s="144">
        <v>212999</v>
      </c>
      <c r="B69" s="144" t="str">
        <f>+IFERROR(VLOOKUP(A69,Tabla2[#Data],2,0),"")</f>
        <v>CARLOS ALEXANDER PINEDA RAMIREZ</v>
      </c>
      <c r="C69" s="144" t="str">
        <f>+IFERROR(VLOOKUP(A69,Tabla2[#Data],3,0),"")</f>
        <v>Operador de Cabezal I</v>
      </c>
      <c r="D69" s="144">
        <v>67</v>
      </c>
      <c r="E69" s="144">
        <v>43859</v>
      </c>
      <c r="F69" s="144" t="str">
        <f>+IFERROR(VLOOKUP(WEEKDAY(E69),Catalogo!$F$1:$G$7,2,0),"")</f>
        <v>MIÉRCOLES</v>
      </c>
      <c r="G69" s="144" t="s">
        <v>292</v>
      </c>
      <c r="H69" s="144"/>
      <c r="I69" s="144">
        <v>65</v>
      </c>
      <c r="J69" s="144"/>
      <c r="K69" s="144"/>
      <c r="L69" s="144">
        <f>SUM(Tabla1[[#This Row],[Desayuno C$ 25]:[Transporte]])</f>
        <v>65</v>
      </c>
    </row>
    <row r="70" spans="1:12" x14ac:dyDescent="0.25">
      <c r="A70" s="144">
        <v>212383</v>
      </c>
      <c r="B70" s="144" t="str">
        <f>+IFERROR(VLOOKUP(A70,Tabla2[#Data],2,0),"")</f>
        <v>JOSE DOMINGO TERCERO HERNANDEZ</v>
      </c>
      <c r="C70" s="144" t="str">
        <f>+IFERROR(VLOOKUP(A70,Tabla2[#Data],3,0),"")</f>
        <v>Operador de Cabezal I</v>
      </c>
      <c r="D70" s="144">
        <v>68</v>
      </c>
      <c r="E70" s="144">
        <v>43859</v>
      </c>
      <c r="F70" s="144" t="str">
        <f>+IFERROR(VLOOKUP(WEEKDAY(E70),Catalogo!$F$1:$G$7,2,0),"")</f>
        <v>MIÉRCOLES</v>
      </c>
      <c r="G70" s="144" t="s">
        <v>320</v>
      </c>
      <c r="H70" s="144"/>
      <c r="I70" s="144">
        <v>35</v>
      </c>
      <c r="J70" s="144"/>
      <c r="K70" s="144"/>
      <c r="L70" s="144">
        <f>SUM(Tabla1[[#This Row],[Desayuno C$ 25]:[Transporte]])</f>
        <v>35</v>
      </c>
    </row>
    <row r="71" spans="1:12" x14ac:dyDescent="0.25">
      <c r="A71" s="144">
        <v>208244</v>
      </c>
      <c r="B71" s="144" t="str">
        <f>+IFERROR(VLOOKUP(A71,Tabla2[#Data],2,0),"")</f>
        <v>WILLBERTH JOSE OSORIO MERCADO</v>
      </c>
      <c r="C71" s="144" t="str">
        <f>+IFERROR(VLOOKUP(A71,Tabla2[#Data],3,0),"")</f>
        <v>Operador de Cabezal I</v>
      </c>
      <c r="D71" s="144">
        <v>69</v>
      </c>
      <c r="E71" s="144">
        <v>43859</v>
      </c>
      <c r="F71" s="144" t="str">
        <f>+IFERROR(VLOOKUP(WEEKDAY(E71),Catalogo!$F$1:$G$7,2,0),"")</f>
        <v>MIÉRCOLES</v>
      </c>
      <c r="G71" s="144" t="s">
        <v>292</v>
      </c>
      <c r="H71" s="144"/>
      <c r="I71" s="144">
        <v>65</v>
      </c>
      <c r="J71" s="144"/>
      <c r="K71" s="144"/>
      <c r="L71" s="144">
        <f>SUM(Tabla1[[#This Row],[Desayuno C$ 25]:[Transporte]])</f>
        <v>65</v>
      </c>
    </row>
    <row r="72" spans="1:12" x14ac:dyDescent="0.25">
      <c r="A72" s="144">
        <v>204854</v>
      </c>
      <c r="B72" s="144" t="str">
        <f>+IFERROR(VLOOKUP(A72,Tabla2[#Data],2,0),"")</f>
        <v>BENITO NUÑEZ VIDAURRE</v>
      </c>
      <c r="C72" s="144" t="str">
        <f>+IFERROR(VLOOKUP(A72,Tabla2[#Data],3,0),"")</f>
        <v>Operador de Maquinaria Pesada I</v>
      </c>
      <c r="D72" s="144">
        <v>70</v>
      </c>
      <c r="E72" s="144">
        <v>43859</v>
      </c>
      <c r="F72" s="144" t="str">
        <f>+IFERROR(VLOOKUP(WEEKDAY(E72),Catalogo!$F$1:$G$7,2,0),"")</f>
        <v>MIÉRCOLES</v>
      </c>
      <c r="G72" s="144" t="s">
        <v>320</v>
      </c>
      <c r="H72" s="144"/>
      <c r="I72" s="144">
        <v>35</v>
      </c>
      <c r="J72" s="144"/>
      <c r="K72" s="144"/>
      <c r="L72" s="144">
        <f>SUM(Tabla1[[#This Row],[Desayuno C$ 25]:[Transporte]])</f>
        <v>35</v>
      </c>
    </row>
    <row r="73" spans="1:12" x14ac:dyDescent="0.25">
      <c r="A73" s="144">
        <v>212248</v>
      </c>
      <c r="B73" s="144" t="str">
        <f>+IFERROR(VLOOKUP(A73,Tabla2[#Data],2,0),"")</f>
        <v>ERNALDO DAVID GARCIA MEZA</v>
      </c>
      <c r="C73" s="144" t="str">
        <f>+IFERROR(VLOOKUP(A73,Tabla2[#Data],3,0),"")</f>
        <v>Operador de Maquinaria Pesada II</v>
      </c>
      <c r="D73" s="144">
        <v>71</v>
      </c>
      <c r="E73" s="144">
        <v>43859</v>
      </c>
      <c r="F73" s="144" t="str">
        <f>+IFERROR(VLOOKUP(WEEKDAY(E73),Catalogo!$F$1:$G$7,2,0),"")</f>
        <v>MIÉRCOLES</v>
      </c>
      <c r="G73" s="144" t="s">
        <v>320</v>
      </c>
      <c r="H73" s="144"/>
      <c r="I73" s="144">
        <v>35</v>
      </c>
      <c r="J73" s="144"/>
      <c r="K73" s="144"/>
      <c r="L73" s="144">
        <f>SUM(Tabla1[[#This Row],[Desayuno C$ 25]:[Transporte]])</f>
        <v>35</v>
      </c>
    </row>
    <row r="74" spans="1:12" x14ac:dyDescent="0.25">
      <c r="A74" s="144">
        <v>204108</v>
      </c>
      <c r="B74" s="144" t="str">
        <f>+IFERROR(VLOOKUP(A74,Tabla2[#Data],2,0),"")</f>
        <v>FRANCISCO JAVIER CABALLERO CASTILLO</v>
      </c>
      <c r="C74" s="144" t="str">
        <f>+IFERROR(VLOOKUP(A74,Tabla2[#Data],3,0),"")</f>
        <v>Operador de Maquinaria Pesada I</v>
      </c>
      <c r="D74" s="144">
        <v>72</v>
      </c>
      <c r="E74" s="144">
        <v>43859</v>
      </c>
      <c r="F74" s="144" t="str">
        <f>+IFERROR(VLOOKUP(WEEKDAY(E74),Catalogo!$F$1:$G$7,2,0),"")</f>
        <v>MIÉRCOLES</v>
      </c>
      <c r="G74" s="144" t="s">
        <v>321</v>
      </c>
      <c r="H74" s="144"/>
      <c r="I74" s="144">
        <v>35</v>
      </c>
      <c r="J74" s="144"/>
      <c r="K74" s="144"/>
      <c r="L74" s="144">
        <f>SUM(Tabla1[[#This Row],[Desayuno C$ 25]:[Transporte]])</f>
        <v>35</v>
      </c>
    </row>
    <row r="75" spans="1:12" x14ac:dyDescent="0.25">
      <c r="A75" s="144">
        <v>202113</v>
      </c>
      <c r="B75" s="144" t="str">
        <f>+IFERROR(VLOOKUP(A75,Tabla2[#Data],2,0),"")</f>
        <v>LEONEL ISMAEL CORDOBA NARVAEZ</v>
      </c>
      <c r="C75" s="144" t="str">
        <f>+IFERROR(VLOOKUP(A75,Tabla2[#Data],3,0),"")</f>
        <v>Operador de Maquinaria Pesada III</v>
      </c>
      <c r="D75" s="144">
        <v>73</v>
      </c>
      <c r="E75" s="144">
        <v>43859</v>
      </c>
      <c r="F75" s="144" t="str">
        <f>+IFERROR(VLOOKUP(WEEKDAY(E75),Catalogo!$F$1:$G$7,2,0),"")</f>
        <v>MIÉRCOLES</v>
      </c>
      <c r="G75" s="144" t="s">
        <v>322</v>
      </c>
      <c r="H75" s="144"/>
      <c r="I75" s="144">
        <v>35</v>
      </c>
      <c r="J75" s="144"/>
      <c r="K75" s="144"/>
      <c r="L75" s="144">
        <f>SUM(Tabla1[[#This Row],[Desayuno C$ 25]:[Transporte]])</f>
        <v>35</v>
      </c>
    </row>
    <row r="76" spans="1:12" x14ac:dyDescent="0.25">
      <c r="A76" s="144">
        <v>212244</v>
      </c>
      <c r="B76" s="144" t="str">
        <f>+IFERROR(VLOOKUP(A76,Tabla2[#Data],2,0),"")</f>
        <v>LUIS MANUEL HERRERA MONDRAGON</v>
      </c>
      <c r="C76" s="144" t="str">
        <f>+IFERROR(VLOOKUP(A76,Tabla2[#Data],3,0),"")</f>
        <v>Operador de Maquinaria Pesada III</v>
      </c>
      <c r="D76" s="144">
        <v>74</v>
      </c>
      <c r="E76" s="144">
        <v>43859</v>
      </c>
      <c r="F76" s="144" t="str">
        <f>+IFERROR(VLOOKUP(WEEKDAY(E76),Catalogo!$F$1:$G$7,2,0),"")</f>
        <v>MIÉRCOLES</v>
      </c>
      <c r="G76" s="144" t="s">
        <v>320</v>
      </c>
      <c r="H76" s="144"/>
      <c r="I76" s="144">
        <v>35</v>
      </c>
      <c r="J76" s="144"/>
      <c r="K76" s="144"/>
      <c r="L76" s="144">
        <f>SUM(Tabla1[[#This Row],[Desayuno C$ 25]:[Transporte]])</f>
        <v>35</v>
      </c>
    </row>
    <row r="77" spans="1:12" x14ac:dyDescent="0.25">
      <c r="A77" s="144">
        <v>203394</v>
      </c>
      <c r="B77" s="144" t="str">
        <f>+IFERROR(VLOOKUP(A77,Tabla2[#Data],2,0),"")</f>
        <v>OSCAR FRANCISCO CARCAMO HERRERA</v>
      </c>
      <c r="C77" s="144" t="str">
        <f>+IFERROR(VLOOKUP(A77,Tabla2[#Data],3,0),"")</f>
        <v>Operador de Maquinaria Pesada I</v>
      </c>
      <c r="D77" s="144">
        <v>75</v>
      </c>
      <c r="E77" s="144">
        <v>43859</v>
      </c>
      <c r="F77" s="144" t="str">
        <f>+IFERROR(VLOOKUP(WEEKDAY(E77),Catalogo!$F$1:$G$7,2,0),"")</f>
        <v>MIÉRCOLES</v>
      </c>
      <c r="G77" s="144" t="s">
        <v>320</v>
      </c>
      <c r="H77" s="144"/>
      <c r="I77" s="144">
        <v>35</v>
      </c>
      <c r="J77" s="144"/>
      <c r="K77" s="144"/>
      <c r="L77" s="144">
        <f>SUM(Tabla1[[#This Row],[Desayuno C$ 25]:[Transporte]])</f>
        <v>35</v>
      </c>
    </row>
    <row r="78" spans="1:12" x14ac:dyDescent="0.25">
      <c r="A78" s="144">
        <v>210471</v>
      </c>
      <c r="B78" s="144" t="str">
        <f>+IFERROR(VLOOKUP(A78,Tabla2[#Data],2,0),"")</f>
        <v>REYNALDO JOSE RIVERA MARTINEZ</v>
      </c>
      <c r="C78" s="144" t="str">
        <f>+IFERROR(VLOOKUP(A78,Tabla2[#Data],3,0),"")</f>
        <v>Operador de Maquinaria Pesada III</v>
      </c>
      <c r="D78" s="144">
        <v>76</v>
      </c>
      <c r="E78" s="144">
        <v>43859</v>
      </c>
      <c r="F78" s="144" t="str">
        <f>+IFERROR(VLOOKUP(WEEKDAY(E78),Catalogo!$F$1:$G$7,2,0),"")</f>
        <v>MIÉRCOLES</v>
      </c>
      <c r="G78" s="144" t="s">
        <v>320</v>
      </c>
      <c r="H78" s="144"/>
      <c r="I78" s="144">
        <v>35</v>
      </c>
      <c r="J78" s="144"/>
      <c r="K78" s="144"/>
      <c r="L78" s="144">
        <f>SUM(Tabla1[[#This Row],[Desayuno C$ 25]:[Transporte]])</f>
        <v>35</v>
      </c>
    </row>
    <row r="79" spans="1:12" x14ac:dyDescent="0.25">
      <c r="A79" s="144">
        <v>202120</v>
      </c>
      <c r="B79" s="144" t="str">
        <f>+IFERROR(VLOOKUP(A79,Tabla2[#Data],2,0),"")</f>
        <v>SANTOS INES NARVAEZ</v>
      </c>
      <c r="C79" s="144" t="str">
        <f>+IFERROR(VLOOKUP(A79,Tabla2[#Data],3,0),"")</f>
        <v>Operador de Maquinaria Pesada II</v>
      </c>
      <c r="D79" s="144">
        <v>77</v>
      </c>
      <c r="E79" s="144">
        <v>43859</v>
      </c>
      <c r="F79" s="144" t="str">
        <f>+IFERROR(VLOOKUP(WEEKDAY(E79),Catalogo!$F$1:$G$7,2,0),"")</f>
        <v>MIÉRCOLES</v>
      </c>
      <c r="G79" s="144" t="s">
        <v>320</v>
      </c>
      <c r="H79" s="144"/>
      <c r="I79" s="144">
        <v>35</v>
      </c>
      <c r="J79" s="144"/>
      <c r="K79" s="144"/>
      <c r="L79" s="144">
        <f>SUM(Tabla1[[#This Row],[Desayuno C$ 25]:[Transporte]])</f>
        <v>35</v>
      </c>
    </row>
    <row r="80" spans="1:12" x14ac:dyDescent="0.25">
      <c r="A80" s="144">
        <v>204112</v>
      </c>
      <c r="B80" s="144" t="str">
        <f>+IFERROR(VLOOKUP(A80,Tabla2[#Data],2,0),"")</f>
        <v>VICENTE DE JESUS ROMERO LANZAS</v>
      </c>
      <c r="C80" s="144" t="str">
        <f>+IFERROR(VLOOKUP(A80,Tabla2[#Data],3,0),"")</f>
        <v>Operador de Maquinaria Pesada II</v>
      </c>
      <c r="D80" s="144">
        <v>78</v>
      </c>
      <c r="E80" s="144">
        <v>43859</v>
      </c>
      <c r="F80" s="144" t="str">
        <f>+IFERROR(VLOOKUP(WEEKDAY(E80),Catalogo!$F$1:$G$7,2,0),"")</f>
        <v>MIÉRCOLES</v>
      </c>
      <c r="G80" s="144" t="s">
        <v>320</v>
      </c>
      <c r="H80" s="144"/>
      <c r="I80" s="144">
        <v>35</v>
      </c>
      <c r="J80" s="144"/>
      <c r="K80" s="144"/>
      <c r="L80" s="144">
        <f>SUM(Tabla1[[#This Row],[Desayuno C$ 25]:[Transporte]])</f>
        <v>35</v>
      </c>
    </row>
    <row r="81" spans="1:12" x14ac:dyDescent="0.25">
      <c r="A81" s="144">
        <v>206966</v>
      </c>
      <c r="B81" s="144" t="str">
        <f>+IFERROR(VLOOKUP(A81,Tabla2[#Data],2,0),"")</f>
        <v>YELSON MANUEL GARCIA VAZQUEZ</v>
      </c>
      <c r="C81" s="144" t="str">
        <f>+IFERROR(VLOOKUP(A81,Tabla2[#Data],3,0),"")</f>
        <v>Operador de Maquinaria Pesada II</v>
      </c>
      <c r="D81" s="144">
        <v>79</v>
      </c>
      <c r="E81" s="144">
        <v>43859</v>
      </c>
      <c r="F81" s="144" t="str">
        <f>+IFERROR(VLOOKUP(WEEKDAY(E81),Catalogo!$F$1:$G$7,2,0),"")</f>
        <v>MIÉRCOLES</v>
      </c>
      <c r="G81" s="144" t="s">
        <v>292</v>
      </c>
      <c r="H81" s="144"/>
      <c r="I81" s="144">
        <v>65</v>
      </c>
      <c r="J81" s="144"/>
      <c r="K81" s="144"/>
      <c r="L81" s="144">
        <f>SUM(Tabla1[[#This Row],[Desayuno C$ 25]:[Transporte]])</f>
        <v>65</v>
      </c>
    </row>
    <row r="82" spans="1:12" x14ac:dyDescent="0.25">
      <c r="A82" s="144">
        <v>209780</v>
      </c>
      <c r="B82" s="144" t="str">
        <f>+IFERROR(VLOOKUP(A82,Tabla2[#Data],2,0),"")</f>
        <v>LUIS ADOLFO BARRERA AYALA</v>
      </c>
      <c r="C82" s="144" t="str">
        <f>+IFERROR(VLOOKUP(A82,Tabla2[#Data],3,0),"")</f>
        <v>Operador de Maquinaria Pesada III</v>
      </c>
      <c r="D82" s="144">
        <v>80</v>
      </c>
      <c r="E82" s="144">
        <v>43859</v>
      </c>
      <c r="F82" s="144" t="str">
        <f>+IFERROR(VLOOKUP(WEEKDAY(E82),Catalogo!$F$1:$G$7,2,0),"")</f>
        <v>MIÉRCOLES</v>
      </c>
      <c r="G82" s="144" t="s">
        <v>320</v>
      </c>
      <c r="H82" s="144"/>
      <c r="I82" s="144">
        <v>35</v>
      </c>
      <c r="J82" s="144"/>
      <c r="K82" s="144"/>
      <c r="L82" s="144">
        <f>SUM(Tabla1[[#This Row],[Desayuno C$ 25]:[Transporte]])</f>
        <v>35</v>
      </c>
    </row>
    <row r="83" spans="1:12" x14ac:dyDescent="0.25">
      <c r="A83" s="144">
        <v>203428</v>
      </c>
      <c r="B83" s="144" t="str">
        <f>+IFERROR(VLOOKUP(A83,Tabla2[#Data],2,0),"")</f>
        <v>FERNANDO JOSE AYALA RIOS</v>
      </c>
      <c r="C83" s="144" t="str">
        <f>+IFERROR(VLOOKUP(A83,Tabla2[#Data],3,0),"")</f>
        <v>Ayudante II M</v>
      </c>
      <c r="D83" s="144">
        <v>81</v>
      </c>
      <c r="E83" s="144">
        <v>43859</v>
      </c>
      <c r="F83" s="144" t="str">
        <f>+IFERROR(VLOOKUP(WEEKDAY(E83),Catalogo!$F$1:$G$7,2,0),"")</f>
        <v>MIÉRCOLES</v>
      </c>
      <c r="G83" s="144" t="s">
        <v>320</v>
      </c>
      <c r="H83" s="144"/>
      <c r="I83" s="144">
        <v>35</v>
      </c>
      <c r="J83" s="144"/>
      <c r="K83" s="144"/>
      <c r="L83" s="144">
        <f>SUM(Tabla1[[#This Row],[Desayuno C$ 25]:[Transporte]])</f>
        <v>35</v>
      </c>
    </row>
    <row r="84" spans="1:12" x14ac:dyDescent="0.25">
      <c r="A84" s="144">
        <v>211419</v>
      </c>
      <c r="B84" s="144" t="str">
        <f>+IFERROR(VLOOKUP(A84,Tabla2[#Data],2,0),"")</f>
        <v>ALFREDO CESAR VALLADAREZ AGUILERA</v>
      </c>
      <c r="C84" s="144" t="str">
        <f>+IFERROR(VLOOKUP(A84,Tabla2[#Data],3,0),"")</f>
        <v>Auxiliar de patio de caña</v>
      </c>
      <c r="D84" s="144">
        <v>82</v>
      </c>
      <c r="E84" s="144">
        <v>43860</v>
      </c>
      <c r="F84" s="144" t="str">
        <f>+IFERROR(VLOOKUP(WEEKDAY(E84),Catalogo!$F$1:$G$7,2,0),"")</f>
        <v>JUEVES</v>
      </c>
      <c r="G84" s="144" t="s">
        <v>215</v>
      </c>
      <c r="H84" s="144"/>
      <c r="I84" s="144">
        <v>35</v>
      </c>
      <c r="J84" s="144"/>
      <c r="K84" s="144"/>
      <c r="L84" s="144">
        <f>SUM(Tabla1[[#This Row],[Desayuno C$ 25]:[Transporte]])</f>
        <v>35</v>
      </c>
    </row>
    <row r="85" spans="1:12" x14ac:dyDescent="0.25">
      <c r="A85" s="144">
        <v>211475</v>
      </c>
      <c r="B85" s="144" t="str">
        <f>+IFERROR(VLOOKUP(A85,Tabla2[#Data],2,0),"")</f>
        <v>FREDDYS JOSUE AGUILERA ANDRADE</v>
      </c>
      <c r="C85" s="144" t="str">
        <f>+IFERROR(VLOOKUP(A85,Tabla2[#Data],3,0),"")</f>
        <v>Auxiliar de Patio de Caña</v>
      </c>
      <c r="D85" s="144">
        <v>83</v>
      </c>
      <c r="E85" s="144">
        <v>43860</v>
      </c>
      <c r="F85" s="144" t="str">
        <f>+IFERROR(VLOOKUP(WEEKDAY(E85),Catalogo!$F$1:$G$7,2,0),"")</f>
        <v>JUEVES</v>
      </c>
      <c r="G85" s="144" t="s">
        <v>292</v>
      </c>
      <c r="H85" s="144"/>
      <c r="I85" s="144">
        <v>65</v>
      </c>
      <c r="J85" s="144"/>
      <c r="K85" s="144"/>
      <c r="L85" s="144">
        <f>SUM(Tabla1[[#This Row],[Desayuno C$ 25]:[Transporte]])</f>
        <v>65</v>
      </c>
    </row>
    <row r="86" spans="1:12" x14ac:dyDescent="0.25">
      <c r="A86" s="144">
        <v>207318</v>
      </c>
      <c r="B86" s="144" t="str">
        <f>+IFERROR(VLOOKUP(A86,Tabla2[#Data],2,0),"")</f>
        <v>HARRISON WILFREDO OLIVERA MENDOZA</v>
      </c>
      <c r="C86" s="144" t="str">
        <f>+IFERROR(VLOOKUP(A86,Tabla2[#Data],3,0),"")</f>
        <v>Ayudante II M</v>
      </c>
      <c r="D86" s="144">
        <v>84</v>
      </c>
      <c r="E86" s="144">
        <v>43860</v>
      </c>
      <c r="F86" s="144" t="str">
        <f>+IFERROR(VLOOKUP(WEEKDAY(E86),Catalogo!$F$1:$G$7,2,0),"")</f>
        <v>JUEVES</v>
      </c>
      <c r="G86" s="144" t="s">
        <v>292</v>
      </c>
      <c r="H86" s="144"/>
      <c r="I86" s="144">
        <v>65</v>
      </c>
      <c r="J86" s="144"/>
      <c r="K86" s="144"/>
      <c r="L86" s="144">
        <f>SUM(Tabla1[[#This Row],[Desayuno C$ 25]:[Transporte]])</f>
        <v>65</v>
      </c>
    </row>
    <row r="87" spans="1:12" x14ac:dyDescent="0.25">
      <c r="A87" s="144">
        <v>212999</v>
      </c>
      <c r="B87" s="144" t="str">
        <f>+IFERROR(VLOOKUP(A87,Tabla2[#Data],2,0),"")</f>
        <v>CARLOS ALEXANDER PINEDA RAMIREZ</v>
      </c>
      <c r="C87" s="144" t="str">
        <f>+IFERROR(VLOOKUP(A87,Tabla2[#Data],3,0),"")</f>
        <v>Operador de Cabezal I</v>
      </c>
      <c r="D87" s="144">
        <v>85</v>
      </c>
      <c r="E87" s="144">
        <v>43860</v>
      </c>
      <c r="F87" s="144" t="str">
        <f>+IFERROR(VLOOKUP(WEEKDAY(E87),Catalogo!$F$1:$G$7,2,0),"")</f>
        <v>JUEVES</v>
      </c>
      <c r="G87" s="144" t="s">
        <v>292</v>
      </c>
      <c r="H87" s="144"/>
      <c r="I87" s="144">
        <v>65</v>
      </c>
      <c r="J87" s="144"/>
      <c r="K87" s="144"/>
      <c r="L87" s="144">
        <f>SUM(Tabla1[[#This Row],[Desayuno C$ 25]:[Transporte]])</f>
        <v>65</v>
      </c>
    </row>
    <row r="88" spans="1:12" x14ac:dyDescent="0.25">
      <c r="A88" s="144">
        <v>213007</v>
      </c>
      <c r="B88" s="144" t="str">
        <f>+IFERROR(VLOOKUP(A88,Tabla2[#Data],2,0),"")</f>
        <v>GUSTAVO ANDRES MARADIAGA OSABAS</v>
      </c>
      <c r="C88" s="144" t="str">
        <f>+IFERROR(VLOOKUP(A88,Tabla2[#Data],3,0),"")</f>
        <v>Operador de Cabezal I</v>
      </c>
      <c r="D88" s="144">
        <v>86</v>
      </c>
      <c r="E88" s="144">
        <v>43860</v>
      </c>
      <c r="F88" s="144" t="str">
        <f>+IFERROR(VLOOKUP(WEEKDAY(E88),Catalogo!$F$1:$G$7,2,0),"")</f>
        <v>JUEVES</v>
      </c>
      <c r="G88" s="144" t="s">
        <v>292</v>
      </c>
      <c r="H88" s="144"/>
      <c r="I88" s="144">
        <v>65</v>
      </c>
      <c r="J88" s="144"/>
      <c r="K88" s="144"/>
      <c r="L88" s="144">
        <f>SUM(Tabla1[[#This Row],[Desayuno C$ 25]:[Transporte]])</f>
        <v>65</v>
      </c>
    </row>
    <row r="89" spans="1:12" x14ac:dyDescent="0.25">
      <c r="A89" s="144">
        <v>212407</v>
      </c>
      <c r="B89" s="144" t="str">
        <f>+IFERROR(VLOOKUP(A89,Tabla2[#Data],2,0),"")</f>
        <v>LEONEL ANTONIO SANTOS MARTINEZ</v>
      </c>
      <c r="C89" s="144" t="str">
        <f>+IFERROR(VLOOKUP(A89,Tabla2[#Data],3,0),"")</f>
        <v>Operador de Cabezal I</v>
      </c>
      <c r="D89" s="144">
        <v>87</v>
      </c>
      <c r="E89" s="144">
        <v>43860</v>
      </c>
      <c r="F89" s="144" t="str">
        <f>+IFERROR(VLOOKUP(WEEKDAY(E89),Catalogo!$F$1:$G$7,2,0),"")</f>
        <v>JUEVES</v>
      </c>
      <c r="G89" s="144" t="s">
        <v>320</v>
      </c>
      <c r="H89" s="144"/>
      <c r="I89" s="144">
        <v>35</v>
      </c>
      <c r="J89" s="144"/>
      <c r="K89" s="144"/>
      <c r="L89" s="144">
        <f>SUM(Tabla1[[#This Row],[Desayuno C$ 25]:[Transporte]])</f>
        <v>35</v>
      </c>
    </row>
    <row r="90" spans="1:12" x14ac:dyDescent="0.25">
      <c r="A90" s="144">
        <v>208244</v>
      </c>
      <c r="B90" s="144" t="str">
        <f>+IFERROR(VLOOKUP(A90,Tabla2[#Data],2,0),"")</f>
        <v>WILLBERTH JOSE OSORIO MERCADO</v>
      </c>
      <c r="C90" s="144" t="str">
        <f>+IFERROR(VLOOKUP(A90,Tabla2[#Data],3,0),"")</f>
        <v>Operador de Cabezal I</v>
      </c>
      <c r="D90" s="144">
        <v>88</v>
      </c>
      <c r="E90" s="144">
        <v>43860</v>
      </c>
      <c r="F90" s="144" t="str">
        <f>+IFERROR(VLOOKUP(WEEKDAY(E90),Catalogo!$F$1:$G$7,2,0),"")</f>
        <v>JUEVES</v>
      </c>
      <c r="G90" s="144" t="s">
        <v>290</v>
      </c>
      <c r="H90" s="144"/>
      <c r="I90" s="144">
        <v>35</v>
      </c>
      <c r="J90" s="144"/>
      <c r="K90" s="144"/>
      <c r="L90" s="144">
        <f>SUM(Tabla1[[#This Row],[Desayuno C$ 25]:[Transporte]])</f>
        <v>35</v>
      </c>
    </row>
    <row r="91" spans="1:12" x14ac:dyDescent="0.25">
      <c r="A91" s="144">
        <v>204854</v>
      </c>
      <c r="B91" s="144" t="str">
        <f>+IFERROR(VLOOKUP(A91,Tabla2[#Data],2,0),"")</f>
        <v>BENITO NUÑEZ VIDAURRE</v>
      </c>
      <c r="C91" s="144" t="str">
        <f>+IFERROR(VLOOKUP(A91,Tabla2[#Data],3,0),"")</f>
        <v>Operador de Maquinaria Pesada I</v>
      </c>
      <c r="D91" s="144">
        <v>89</v>
      </c>
      <c r="E91" s="144">
        <v>43860</v>
      </c>
      <c r="F91" s="144" t="str">
        <f>+IFERROR(VLOOKUP(WEEKDAY(E91),Catalogo!$F$1:$G$7,2,0),"")</f>
        <v>JUEVES</v>
      </c>
      <c r="G91" s="144" t="s">
        <v>320</v>
      </c>
      <c r="H91" s="144"/>
      <c r="I91" s="144">
        <v>35</v>
      </c>
      <c r="J91" s="144"/>
      <c r="K91" s="144"/>
      <c r="L91" s="144">
        <f>SUM(Tabla1[[#This Row],[Desayuno C$ 25]:[Transporte]])</f>
        <v>35</v>
      </c>
    </row>
    <row r="92" spans="1:12" x14ac:dyDescent="0.25">
      <c r="A92" s="144">
        <v>212248</v>
      </c>
      <c r="B92" s="144" t="str">
        <f>+IFERROR(VLOOKUP(A92,Tabla2[#Data],2,0),"")</f>
        <v>ERNALDO DAVID GARCIA MEZA</v>
      </c>
      <c r="C92" s="144" t="str">
        <f>+IFERROR(VLOOKUP(A92,Tabla2[#Data],3,0),"")</f>
        <v>Operador de Maquinaria Pesada II</v>
      </c>
      <c r="D92" s="144">
        <v>90</v>
      </c>
      <c r="E92" s="144">
        <v>43860</v>
      </c>
      <c r="F92" s="144" t="str">
        <f>+IFERROR(VLOOKUP(WEEKDAY(E92),Catalogo!$F$1:$G$7,2,0),"")</f>
        <v>JUEVES</v>
      </c>
      <c r="G92" s="144" t="s">
        <v>320</v>
      </c>
      <c r="H92" s="144"/>
      <c r="I92" s="144">
        <v>35</v>
      </c>
      <c r="J92" s="144"/>
      <c r="K92" s="144"/>
      <c r="L92" s="144">
        <f>SUM(Tabla1[[#This Row],[Desayuno C$ 25]:[Transporte]])</f>
        <v>35</v>
      </c>
    </row>
    <row r="93" spans="1:12" x14ac:dyDescent="0.25">
      <c r="A93" s="144">
        <v>202113</v>
      </c>
      <c r="B93" s="144" t="str">
        <f>+IFERROR(VLOOKUP(A93,Tabla2[#Data],2,0),"")</f>
        <v>LEONEL ISMAEL CORDOBA NARVAEZ</v>
      </c>
      <c r="C93" s="144" t="str">
        <f>+IFERROR(VLOOKUP(A93,Tabla2[#Data],3,0),"")</f>
        <v>Operador de Maquinaria Pesada III</v>
      </c>
      <c r="D93" s="144">
        <v>91</v>
      </c>
      <c r="E93" s="144">
        <v>43860</v>
      </c>
      <c r="F93" s="144" t="str">
        <f>+IFERROR(VLOOKUP(WEEKDAY(E93),Catalogo!$F$1:$G$7,2,0),"")</f>
        <v>JUEVES</v>
      </c>
      <c r="G93" s="144" t="s">
        <v>290</v>
      </c>
      <c r="H93" s="144"/>
      <c r="I93" s="144">
        <v>35</v>
      </c>
      <c r="J93" s="144"/>
      <c r="K93" s="144"/>
      <c r="L93" s="144">
        <f>SUM(Tabla1[[#This Row],[Desayuno C$ 25]:[Transporte]])</f>
        <v>35</v>
      </c>
    </row>
    <row r="94" spans="1:12" x14ac:dyDescent="0.25">
      <c r="A94" s="144">
        <v>212244</v>
      </c>
      <c r="B94" s="144" t="str">
        <f>+IFERROR(VLOOKUP(A94,Tabla2[#Data],2,0),"")</f>
        <v>LUIS MANUEL HERRERA MONDRAGON</v>
      </c>
      <c r="C94" s="144" t="str">
        <f>+IFERROR(VLOOKUP(A94,Tabla2[#Data],3,0),"")</f>
        <v>Operador de Maquinaria Pesada III</v>
      </c>
      <c r="D94" s="144">
        <v>92</v>
      </c>
      <c r="E94" s="144">
        <v>43860</v>
      </c>
      <c r="F94" s="144" t="str">
        <f>+IFERROR(VLOOKUP(WEEKDAY(E94),Catalogo!$F$1:$G$7,2,0),"")</f>
        <v>JUEVES</v>
      </c>
      <c r="G94" s="144" t="s">
        <v>320</v>
      </c>
      <c r="H94" s="144"/>
      <c r="I94" s="144">
        <v>35</v>
      </c>
      <c r="J94" s="144"/>
      <c r="K94" s="144"/>
      <c r="L94" s="144">
        <f>SUM(Tabla1[[#This Row],[Desayuno C$ 25]:[Transporte]])</f>
        <v>35</v>
      </c>
    </row>
    <row r="95" spans="1:12" x14ac:dyDescent="0.25">
      <c r="A95" s="144">
        <v>210471</v>
      </c>
      <c r="B95" s="144" t="str">
        <f>+IFERROR(VLOOKUP(A95,Tabla2[#Data],2,0),"")</f>
        <v>REYNALDO JOSE RIVERA MARTINEZ</v>
      </c>
      <c r="C95" s="144" t="str">
        <f>+IFERROR(VLOOKUP(A95,Tabla2[#Data],3,0),"")</f>
        <v>Operador de Maquinaria Pesada III</v>
      </c>
      <c r="D95" s="144">
        <v>93</v>
      </c>
      <c r="E95" s="144">
        <v>43860</v>
      </c>
      <c r="F95" s="144" t="str">
        <f>+IFERROR(VLOOKUP(WEEKDAY(E95),Catalogo!$F$1:$G$7,2,0),"")</f>
        <v>JUEVES</v>
      </c>
      <c r="G95" s="144" t="s">
        <v>320</v>
      </c>
      <c r="H95" s="144"/>
      <c r="I95" s="144">
        <v>35</v>
      </c>
      <c r="J95" s="144"/>
      <c r="K95" s="144"/>
      <c r="L95" s="144">
        <f>SUM(Tabla1[[#This Row],[Desayuno C$ 25]:[Transporte]])</f>
        <v>35</v>
      </c>
    </row>
    <row r="96" spans="1:12" x14ac:dyDescent="0.25">
      <c r="A96" s="144">
        <v>202120</v>
      </c>
      <c r="B96" s="144" t="str">
        <f>+IFERROR(VLOOKUP(A96,Tabla2[#Data],2,0),"")</f>
        <v>SANTOS INES NARVAEZ</v>
      </c>
      <c r="C96" s="144" t="str">
        <f>+IFERROR(VLOOKUP(A96,Tabla2[#Data],3,0),"")</f>
        <v>Operador de Maquinaria Pesada II</v>
      </c>
      <c r="D96" s="144">
        <v>94</v>
      </c>
      <c r="E96" s="144">
        <v>43860</v>
      </c>
      <c r="F96" s="144" t="str">
        <f>+IFERROR(VLOOKUP(WEEKDAY(E96),Catalogo!$F$1:$G$7,2,0),"")</f>
        <v>JUEVES</v>
      </c>
      <c r="G96" s="144" t="s">
        <v>292</v>
      </c>
      <c r="H96" s="144"/>
      <c r="I96" s="144">
        <v>65</v>
      </c>
      <c r="J96" s="144"/>
      <c r="K96" s="144"/>
      <c r="L96" s="144">
        <f>SUM(Tabla1[[#This Row],[Desayuno C$ 25]:[Transporte]])</f>
        <v>65</v>
      </c>
    </row>
    <row r="97" spans="1:12" x14ac:dyDescent="0.25">
      <c r="A97" s="144">
        <v>204112</v>
      </c>
      <c r="B97" s="144" t="str">
        <f>+IFERROR(VLOOKUP(A97,Tabla2[#Data],2,0),"")</f>
        <v>VICENTE DE JESUS ROMERO LANZAS</v>
      </c>
      <c r="C97" s="144" t="str">
        <f>+IFERROR(VLOOKUP(A97,Tabla2[#Data],3,0),"")</f>
        <v>Operador de Maquinaria Pesada II</v>
      </c>
      <c r="D97" s="144">
        <v>95</v>
      </c>
      <c r="E97" s="144">
        <v>43860</v>
      </c>
      <c r="F97" s="144" t="str">
        <f>+IFERROR(VLOOKUP(WEEKDAY(E97),Catalogo!$F$1:$G$7,2,0),"")</f>
        <v>JUEVES</v>
      </c>
      <c r="G97" s="144" t="s">
        <v>320</v>
      </c>
      <c r="H97" s="144"/>
      <c r="I97" s="144">
        <v>35</v>
      </c>
      <c r="J97" s="144"/>
      <c r="K97" s="144"/>
      <c r="L97" s="144">
        <f>SUM(Tabla1[[#This Row],[Desayuno C$ 25]:[Transporte]])</f>
        <v>35</v>
      </c>
    </row>
    <row r="98" spans="1:12" x14ac:dyDescent="0.25">
      <c r="A98" s="144">
        <v>206966</v>
      </c>
      <c r="B98" s="144" t="str">
        <f>+IFERROR(VLOOKUP(A98,Tabla2[#Data],2,0),"")</f>
        <v>YELSON MANUEL GARCIA VAZQUEZ</v>
      </c>
      <c r="C98" s="144" t="str">
        <f>+IFERROR(VLOOKUP(A98,Tabla2[#Data],3,0),"")</f>
        <v>Operador de Maquinaria Pesada II</v>
      </c>
      <c r="D98" s="144">
        <v>96</v>
      </c>
      <c r="E98" s="144">
        <v>43860</v>
      </c>
      <c r="F98" s="144" t="str">
        <f>+IFERROR(VLOOKUP(WEEKDAY(E98),Catalogo!$F$1:$G$7,2,0),"")</f>
        <v>JUEVES</v>
      </c>
      <c r="G98" s="144" t="s">
        <v>220</v>
      </c>
      <c r="H98" s="144"/>
      <c r="I98" s="144">
        <v>65</v>
      </c>
      <c r="J98" s="144"/>
      <c r="K98" s="144"/>
      <c r="L98" s="144">
        <f>SUM(Tabla1[[#This Row],[Desayuno C$ 25]:[Transporte]])</f>
        <v>65</v>
      </c>
    </row>
    <row r="99" spans="1:12" x14ac:dyDescent="0.25">
      <c r="A99" s="144">
        <v>209780</v>
      </c>
      <c r="B99" s="144" t="str">
        <f>+IFERROR(VLOOKUP(A99,Tabla2[#Data],2,0),"")</f>
        <v>LUIS ADOLFO BARRERA AYALA</v>
      </c>
      <c r="C99" s="144" t="str">
        <f>+IFERROR(VLOOKUP(A99,Tabla2[#Data],3,0),"")</f>
        <v>Operador de Maquinaria Pesada III</v>
      </c>
      <c r="D99" s="144">
        <v>97</v>
      </c>
      <c r="E99" s="144">
        <v>43860</v>
      </c>
      <c r="F99" s="144" t="str">
        <f>+IFERROR(VLOOKUP(WEEKDAY(E99),Catalogo!$F$1:$G$7,2,0),"")</f>
        <v>JUEVES</v>
      </c>
      <c r="G99" s="144" t="s">
        <v>320</v>
      </c>
      <c r="H99" s="144"/>
      <c r="I99" s="144">
        <v>35</v>
      </c>
      <c r="J99" s="144"/>
      <c r="K99" s="144"/>
      <c r="L99" s="144">
        <f>SUM(Tabla1[[#This Row],[Desayuno C$ 25]:[Transporte]])</f>
        <v>35</v>
      </c>
    </row>
    <row r="100" spans="1:12" x14ac:dyDescent="0.25">
      <c r="A100" s="144">
        <v>213380</v>
      </c>
      <c r="B100" s="144" t="str">
        <f>+IFERROR(VLOOKUP(A100,Tabla2[#Data],2,0),"")</f>
        <v>GERARDO JOSE MEZA</v>
      </c>
      <c r="C100" s="144" t="str">
        <f>+IFERROR(VLOOKUP(A100,Tabla2[#Data],3,0),"")</f>
        <v>Operador de Maquinaria Pesada I</v>
      </c>
      <c r="D100" s="144">
        <v>98</v>
      </c>
      <c r="E100" s="144">
        <v>43860</v>
      </c>
      <c r="F100" s="144" t="str">
        <f>+IFERROR(VLOOKUP(WEEKDAY(E100),Catalogo!$F$1:$G$7,2,0),"")</f>
        <v>JUEVES</v>
      </c>
      <c r="G100" s="144" t="s">
        <v>320</v>
      </c>
      <c r="H100" s="144"/>
      <c r="I100" s="144">
        <v>35</v>
      </c>
      <c r="J100" s="144"/>
      <c r="K100" s="144"/>
      <c r="L100" s="144">
        <f>SUM(Tabla1[[#This Row],[Desayuno C$ 25]:[Transporte]])</f>
        <v>35</v>
      </c>
    </row>
    <row r="101" spans="1:12" x14ac:dyDescent="0.25">
      <c r="A101" s="144">
        <v>203428</v>
      </c>
      <c r="B101" s="144" t="str">
        <f>+IFERROR(VLOOKUP(A101,Tabla2[#Data],2,0),"")</f>
        <v>FERNANDO JOSE AYALA RIOS</v>
      </c>
      <c r="C101" s="144" t="str">
        <f>+IFERROR(VLOOKUP(A101,Tabla2[#Data],3,0),"")</f>
        <v>Ayudante II M</v>
      </c>
      <c r="D101" s="144">
        <v>99</v>
      </c>
      <c r="E101" s="144">
        <v>43860</v>
      </c>
      <c r="F101" s="144" t="str">
        <f>+IFERROR(VLOOKUP(WEEKDAY(E101),Catalogo!$F$1:$G$7,2,0),"")</f>
        <v>JUEVES</v>
      </c>
      <c r="G101" s="144" t="s">
        <v>320</v>
      </c>
      <c r="H101" s="144"/>
      <c r="I101" s="144">
        <v>35</v>
      </c>
      <c r="J101" s="144"/>
      <c r="K101" s="144"/>
      <c r="L101" s="144">
        <f>SUM(Tabla1[[#This Row],[Desayuno C$ 25]:[Transporte]])</f>
        <v>35</v>
      </c>
    </row>
    <row r="102" spans="1:12" x14ac:dyDescent="0.25">
      <c r="A102" s="144">
        <v>211419</v>
      </c>
      <c r="B102" s="144" t="str">
        <f>+IFERROR(VLOOKUP(A102,Tabla2[#Data],2,0),"")</f>
        <v>ALFREDO CESAR VALLADAREZ AGUILERA</v>
      </c>
      <c r="C102" s="144" t="str">
        <f>+IFERROR(VLOOKUP(A102,Tabla2[#Data],3,0),"")</f>
        <v>Auxiliar de patio de caña</v>
      </c>
      <c r="D102" s="144">
        <v>100</v>
      </c>
      <c r="E102" s="144">
        <v>43861</v>
      </c>
      <c r="F102" s="144" t="str">
        <f>+IFERROR(VLOOKUP(WEEKDAY(E102),Catalogo!$F$1:$G$7,2,0),"")</f>
        <v>VIERNES</v>
      </c>
      <c r="G102" s="144" t="s">
        <v>215</v>
      </c>
      <c r="H102" s="144"/>
      <c r="I102" s="144">
        <v>35</v>
      </c>
      <c r="J102" s="144"/>
      <c r="K102" s="144"/>
      <c r="L102" s="144">
        <f>SUM(Tabla1[[#This Row],[Desayuno C$ 25]:[Transporte]])</f>
        <v>35</v>
      </c>
    </row>
    <row r="103" spans="1:12" x14ac:dyDescent="0.25">
      <c r="A103" s="144">
        <v>211475</v>
      </c>
      <c r="B103" s="144" t="str">
        <f>+IFERROR(VLOOKUP(A103,Tabla2[#Data],2,0),"")</f>
        <v>FREDDYS JOSUE AGUILERA ANDRADE</v>
      </c>
      <c r="C103" s="144" t="str">
        <f>+IFERROR(VLOOKUP(A103,Tabla2[#Data],3,0),"")</f>
        <v>Auxiliar de Patio de Caña</v>
      </c>
      <c r="D103" s="144">
        <v>101</v>
      </c>
      <c r="E103" s="144">
        <v>43861</v>
      </c>
      <c r="F103" s="144" t="str">
        <f>+IFERROR(VLOOKUP(WEEKDAY(E103),Catalogo!$F$1:$G$7,2,0),"")</f>
        <v>VIERNES</v>
      </c>
      <c r="G103" s="144" t="s">
        <v>323</v>
      </c>
      <c r="H103" s="144"/>
      <c r="I103" s="144">
        <v>35</v>
      </c>
      <c r="J103" s="144"/>
      <c r="K103" s="144"/>
      <c r="L103" s="144">
        <f>SUM(Tabla1[[#This Row],[Desayuno C$ 25]:[Transporte]])</f>
        <v>35</v>
      </c>
    </row>
    <row r="104" spans="1:12" x14ac:dyDescent="0.25">
      <c r="A104" s="144">
        <v>210345</v>
      </c>
      <c r="B104" s="144" t="str">
        <f>+IFERROR(VLOOKUP(A104,Tabla2[#Data],2,0),"")</f>
        <v>ALEXANDER ALBERTO CAMPOS ESPINOZA</v>
      </c>
      <c r="C104" s="144" t="str">
        <f>+IFERROR(VLOOKUP(A104,Tabla2[#Data],3,0),"")</f>
        <v>Ayudante II M</v>
      </c>
      <c r="D104" s="144">
        <v>102</v>
      </c>
      <c r="E104" s="144">
        <v>43861</v>
      </c>
      <c r="F104" s="144" t="str">
        <f>+IFERROR(VLOOKUP(WEEKDAY(E104),Catalogo!$F$1:$G$7,2,0),"")</f>
        <v>VIERNES</v>
      </c>
      <c r="G104" s="144" t="s">
        <v>290</v>
      </c>
      <c r="H104" s="144"/>
      <c r="I104" s="144">
        <v>35</v>
      </c>
      <c r="J104" s="144"/>
      <c r="K104" s="144"/>
      <c r="L104" s="144">
        <f>SUM(Tabla1[[#This Row],[Desayuno C$ 25]:[Transporte]])</f>
        <v>35</v>
      </c>
    </row>
    <row r="105" spans="1:12" x14ac:dyDescent="0.25">
      <c r="A105" s="144">
        <v>207318</v>
      </c>
      <c r="B105" s="144" t="str">
        <f>+IFERROR(VLOOKUP(A105,Tabla2[#Data],2,0),"")</f>
        <v>HARRISON WILFREDO OLIVERA MENDOZA</v>
      </c>
      <c r="C105" s="144" t="str">
        <f>+IFERROR(VLOOKUP(A105,Tabla2[#Data],3,0),"")</f>
        <v>Ayudante II M</v>
      </c>
      <c r="D105" s="144">
        <v>103</v>
      </c>
      <c r="E105" s="144">
        <v>43861</v>
      </c>
      <c r="F105" s="144" t="str">
        <f>+IFERROR(VLOOKUP(WEEKDAY(E105),Catalogo!$F$1:$G$7,2,0),"")</f>
        <v>VIERNES</v>
      </c>
      <c r="G105" s="144" t="s">
        <v>220</v>
      </c>
      <c r="H105" s="144"/>
      <c r="I105" s="144">
        <v>65</v>
      </c>
      <c r="J105" s="144"/>
      <c r="K105" s="144"/>
      <c r="L105" s="144">
        <f>SUM(Tabla1[[#This Row],[Desayuno C$ 25]:[Transporte]])</f>
        <v>65</v>
      </c>
    </row>
    <row r="106" spans="1:12" x14ac:dyDescent="0.25">
      <c r="A106" s="144">
        <v>209398</v>
      </c>
      <c r="B106" s="144" t="str">
        <f>+IFERROR(VLOOKUP(A106,Tabla2[#Data],2,0),"")</f>
        <v>KELVIN ENELSON MARADIAGA HERNANDEZ</v>
      </c>
      <c r="C106" s="144" t="str">
        <f>+IFERROR(VLOOKUP(A106,Tabla2[#Data],3,0),"")</f>
        <v>Ayudante II M</v>
      </c>
      <c r="D106" s="144">
        <v>104</v>
      </c>
      <c r="E106" s="144">
        <v>43861</v>
      </c>
      <c r="F106" s="144" t="str">
        <f>+IFERROR(VLOOKUP(WEEKDAY(E106),Catalogo!$F$1:$G$7,2,0),"")</f>
        <v>VIERNES</v>
      </c>
      <c r="G106" s="144" t="s">
        <v>320</v>
      </c>
      <c r="H106" s="144"/>
      <c r="I106" s="144">
        <v>35</v>
      </c>
      <c r="J106" s="144"/>
      <c r="K106" s="144"/>
      <c r="L106" s="144">
        <f>SUM(Tabla1[[#This Row],[Desayuno C$ 25]:[Transporte]])</f>
        <v>35</v>
      </c>
    </row>
    <row r="107" spans="1:12" x14ac:dyDescent="0.25">
      <c r="A107" s="144">
        <v>212999</v>
      </c>
      <c r="B107" s="144" t="str">
        <f>+IFERROR(VLOOKUP(A107,Tabla2[#Data],2,0),"")</f>
        <v>CARLOS ALEXANDER PINEDA RAMIREZ</v>
      </c>
      <c r="C107" s="144" t="str">
        <f>+IFERROR(VLOOKUP(A107,Tabla2[#Data],3,0),"")</f>
        <v>Operador de Cabezal I</v>
      </c>
      <c r="D107" s="144">
        <v>105</v>
      </c>
      <c r="E107" s="144">
        <v>43861</v>
      </c>
      <c r="F107" s="144" t="str">
        <f>+IFERROR(VLOOKUP(WEEKDAY(E107),Catalogo!$F$1:$G$7,2,0),"")</f>
        <v>VIERNES</v>
      </c>
      <c r="G107" s="144" t="s">
        <v>292</v>
      </c>
      <c r="H107" s="144"/>
      <c r="I107" s="144">
        <v>65</v>
      </c>
      <c r="J107" s="144"/>
      <c r="K107" s="144"/>
      <c r="L107" s="144">
        <f>SUM(Tabla1[[#This Row],[Desayuno C$ 25]:[Transporte]])</f>
        <v>65</v>
      </c>
    </row>
    <row r="108" spans="1:12" x14ac:dyDescent="0.25">
      <c r="A108" s="144">
        <v>204136</v>
      </c>
      <c r="B108" s="144" t="str">
        <f>+IFERROR(VLOOKUP(A108,Tabla2[#Data],2,0),"")</f>
        <v>EDWIN JAVIER ZARATE</v>
      </c>
      <c r="C108" s="144" t="str">
        <f>+IFERROR(VLOOKUP(A108,Tabla2[#Data],3,0),"")</f>
        <v>Operador de Cabezal I</v>
      </c>
      <c r="D108" s="144">
        <v>106</v>
      </c>
      <c r="E108" s="144">
        <v>43861</v>
      </c>
      <c r="F108" s="144" t="str">
        <f>+IFERROR(VLOOKUP(WEEKDAY(E108),Catalogo!$F$1:$G$7,2,0),"")</f>
        <v>VIERNES</v>
      </c>
      <c r="G108" s="144" t="s">
        <v>321</v>
      </c>
      <c r="H108" s="144"/>
      <c r="I108" s="144">
        <v>35</v>
      </c>
      <c r="J108" s="144"/>
      <c r="K108" s="144"/>
      <c r="L108" s="144">
        <f>SUM(Tabla1[[#This Row],[Desayuno C$ 25]:[Transporte]])</f>
        <v>35</v>
      </c>
    </row>
    <row r="109" spans="1:12" x14ac:dyDescent="0.25">
      <c r="A109" s="144">
        <v>212314</v>
      </c>
      <c r="B109" s="144" t="str">
        <f>+IFERROR(VLOOKUP(A109,Tabla2[#Data],2,0),"")</f>
        <v>JUAN ANIBAL CARDOZA OVIEDO</v>
      </c>
      <c r="C109" s="144" t="str">
        <f>+IFERROR(VLOOKUP(A109,Tabla2[#Data],3,0),"")</f>
        <v>Operador de Cabezal I</v>
      </c>
      <c r="D109" s="144">
        <v>107</v>
      </c>
      <c r="E109" s="144">
        <v>43861</v>
      </c>
      <c r="F109" s="144" t="str">
        <f>+IFERROR(VLOOKUP(WEEKDAY(E109),Catalogo!$F$1:$G$7,2,0),"")</f>
        <v>VIERNES</v>
      </c>
      <c r="G109" s="144" t="s">
        <v>292</v>
      </c>
      <c r="H109" s="144"/>
      <c r="I109" s="144">
        <v>65</v>
      </c>
      <c r="J109" s="144"/>
      <c r="K109" s="144"/>
      <c r="L109" s="144">
        <f>SUM(Tabla1[[#This Row],[Desayuno C$ 25]:[Transporte]])</f>
        <v>65</v>
      </c>
    </row>
    <row r="110" spans="1:12" x14ac:dyDescent="0.25">
      <c r="A110" s="144">
        <v>213002</v>
      </c>
      <c r="B110" s="144" t="str">
        <f>+IFERROR(VLOOKUP(A110,Tabla2[#Data],2,0),"")</f>
        <v>WILBERTH JACOBO SOMARRIBA ESPINOZA</v>
      </c>
      <c r="C110" s="144" t="str">
        <f>+IFERROR(VLOOKUP(A110,Tabla2[#Data],3,0),"")</f>
        <v>Operador de Cabezal I</v>
      </c>
      <c r="D110" s="144">
        <v>108</v>
      </c>
      <c r="E110" s="144">
        <v>43861</v>
      </c>
      <c r="F110" s="144" t="str">
        <f>+IFERROR(VLOOKUP(WEEKDAY(E110),Catalogo!$F$1:$G$7,2,0),"")</f>
        <v>VIERNES</v>
      </c>
      <c r="G110" s="144" t="s">
        <v>292</v>
      </c>
      <c r="H110" s="144"/>
      <c r="I110" s="144">
        <v>65</v>
      </c>
      <c r="J110" s="144"/>
      <c r="K110" s="144"/>
      <c r="L110" s="144">
        <f>SUM(Tabla1[[#This Row],[Desayuno C$ 25]:[Transporte]])</f>
        <v>65</v>
      </c>
    </row>
    <row r="111" spans="1:12" x14ac:dyDescent="0.25">
      <c r="A111" s="144">
        <v>208244</v>
      </c>
      <c r="B111" s="144" t="str">
        <f>+IFERROR(VLOOKUP(A111,Tabla2[#Data],2,0),"")</f>
        <v>WILLBERTH JOSE OSORIO MERCADO</v>
      </c>
      <c r="C111" s="144" t="str">
        <f>+IFERROR(VLOOKUP(A111,Tabla2[#Data],3,0),"")</f>
        <v>Operador de Cabezal I</v>
      </c>
      <c r="D111" s="144">
        <v>109</v>
      </c>
      <c r="E111" s="144">
        <v>43861</v>
      </c>
      <c r="F111" s="144" t="str">
        <f>+IFERROR(VLOOKUP(WEEKDAY(E111),Catalogo!$F$1:$G$7,2,0),"")</f>
        <v>VIERNES</v>
      </c>
      <c r="G111" s="144" t="s">
        <v>292</v>
      </c>
      <c r="H111" s="144"/>
      <c r="I111" s="144">
        <v>65</v>
      </c>
      <c r="J111" s="144"/>
      <c r="K111" s="144"/>
      <c r="L111" s="144">
        <f>SUM(Tabla1[[#This Row],[Desayuno C$ 25]:[Transporte]])</f>
        <v>65</v>
      </c>
    </row>
    <row r="112" spans="1:12" x14ac:dyDescent="0.25">
      <c r="A112" s="144">
        <v>206970</v>
      </c>
      <c r="B112" s="144" t="str">
        <f>+IFERROR(VLOOKUP(A112,Tabla2[#Data],2,0),"")</f>
        <v>BAYARDO ANTONIO FLORES REYES</v>
      </c>
      <c r="C112" s="144" t="str">
        <f>+IFERROR(VLOOKUP(A112,Tabla2[#Data],3,0),"")</f>
        <v>Operador de Maquinaria Pesada II</v>
      </c>
      <c r="D112" s="144">
        <v>110</v>
      </c>
      <c r="E112" s="144">
        <v>43861</v>
      </c>
      <c r="F112" s="144" t="str">
        <f>+IFERROR(VLOOKUP(WEEKDAY(E112),Catalogo!$F$1:$G$7,2,0),"")</f>
        <v>VIERNES</v>
      </c>
      <c r="G112" s="144" t="s">
        <v>320</v>
      </c>
      <c r="H112" s="144"/>
      <c r="I112" s="144">
        <v>35</v>
      </c>
      <c r="J112" s="144"/>
      <c r="K112" s="144"/>
      <c r="L112" s="144">
        <f>SUM(Tabla1[[#This Row],[Desayuno C$ 25]:[Transporte]])</f>
        <v>35</v>
      </c>
    </row>
    <row r="113" spans="1:12" x14ac:dyDescent="0.25">
      <c r="A113" s="144">
        <v>204854</v>
      </c>
      <c r="B113" s="144" t="str">
        <f>+IFERROR(VLOOKUP(A113,Tabla2[#Data],2,0),"")</f>
        <v>BENITO NUÑEZ VIDAURRE</v>
      </c>
      <c r="C113" s="144" t="str">
        <f>+IFERROR(VLOOKUP(A113,Tabla2[#Data],3,0),"")</f>
        <v>Operador de Maquinaria Pesada I</v>
      </c>
      <c r="D113" s="144">
        <v>111</v>
      </c>
      <c r="E113" s="144">
        <v>43861</v>
      </c>
      <c r="F113" s="144" t="str">
        <f>+IFERROR(VLOOKUP(WEEKDAY(E113),Catalogo!$F$1:$G$7,2,0),"")</f>
        <v>VIERNES</v>
      </c>
      <c r="G113" s="144" t="s">
        <v>320</v>
      </c>
      <c r="H113" s="144"/>
      <c r="I113" s="144">
        <v>35</v>
      </c>
      <c r="J113" s="144"/>
      <c r="K113" s="144"/>
      <c r="L113" s="144">
        <f>SUM(Tabla1[[#This Row],[Desayuno C$ 25]:[Transporte]])</f>
        <v>35</v>
      </c>
    </row>
    <row r="114" spans="1:12" x14ac:dyDescent="0.25">
      <c r="A114" s="144">
        <v>212248</v>
      </c>
      <c r="B114" s="144" t="str">
        <f>+IFERROR(VLOOKUP(A114,Tabla2[#Data],2,0),"")</f>
        <v>ERNALDO DAVID GARCIA MEZA</v>
      </c>
      <c r="C114" s="144" t="str">
        <f>+IFERROR(VLOOKUP(A114,Tabla2[#Data],3,0),"")</f>
        <v>Operador de Maquinaria Pesada II</v>
      </c>
      <c r="D114" s="144">
        <v>112</v>
      </c>
      <c r="E114" s="144">
        <v>43861</v>
      </c>
      <c r="F114" s="144" t="str">
        <f>+IFERROR(VLOOKUP(WEEKDAY(E114),Catalogo!$F$1:$G$7,2,0),"")</f>
        <v>VIERNES</v>
      </c>
      <c r="G114" s="144" t="s">
        <v>320</v>
      </c>
      <c r="H114" s="144"/>
      <c r="I114" s="144">
        <v>35</v>
      </c>
      <c r="J114" s="144"/>
      <c r="K114" s="144"/>
      <c r="L114" s="144">
        <f>SUM(Tabla1[[#This Row],[Desayuno C$ 25]:[Transporte]])</f>
        <v>35</v>
      </c>
    </row>
    <row r="115" spans="1:12" x14ac:dyDescent="0.25">
      <c r="A115" s="144">
        <v>206988</v>
      </c>
      <c r="B115" s="144" t="str">
        <f>+IFERROR(VLOOKUP(A115,Tabla2[#Data],2,0),"")</f>
        <v>EVERT FRANCISCO RAYO PINEDA</v>
      </c>
      <c r="C115" s="144" t="str">
        <f>+IFERROR(VLOOKUP(A115,Tabla2[#Data],3,0),"")</f>
        <v>Operador de Maquinaria Pesada I</v>
      </c>
      <c r="D115" s="144">
        <v>113</v>
      </c>
      <c r="E115" s="144">
        <v>43861</v>
      </c>
      <c r="F115" s="144" t="str">
        <f>+IFERROR(VLOOKUP(WEEKDAY(E115),Catalogo!$F$1:$G$7,2,0),"")</f>
        <v>VIERNES</v>
      </c>
      <c r="G115" s="144" t="s">
        <v>320</v>
      </c>
      <c r="H115" s="144"/>
      <c r="I115" s="144">
        <v>35</v>
      </c>
      <c r="J115" s="144"/>
      <c r="K115" s="144"/>
      <c r="L115" s="144">
        <f>SUM(Tabla1[[#This Row],[Desayuno C$ 25]:[Transporte]])</f>
        <v>35</v>
      </c>
    </row>
    <row r="116" spans="1:12" x14ac:dyDescent="0.25">
      <c r="A116" s="144">
        <v>202280</v>
      </c>
      <c r="B116" s="144" t="str">
        <f>+IFERROR(VLOOKUP(A116,Tabla2[#Data],2,0),"")</f>
        <v>FILIBERTO JESUS VARELA HERRERA</v>
      </c>
      <c r="C116" s="144" t="str">
        <f>+IFERROR(VLOOKUP(A116,Tabla2[#Data],3,0),"")</f>
        <v>Operador de Maquinaria Pesada I</v>
      </c>
      <c r="D116" s="144">
        <v>114</v>
      </c>
      <c r="E116" s="144">
        <v>43861</v>
      </c>
      <c r="F116" s="144" t="str">
        <f>+IFERROR(VLOOKUP(WEEKDAY(E116),Catalogo!$F$1:$G$7,2,0),"")</f>
        <v>VIERNES</v>
      </c>
      <c r="G116" s="144" t="s">
        <v>297</v>
      </c>
      <c r="H116" s="144"/>
      <c r="I116" s="144">
        <v>35</v>
      </c>
      <c r="J116" s="144"/>
      <c r="K116" s="144"/>
      <c r="L116" s="144">
        <f>SUM(Tabla1[[#This Row],[Desayuno C$ 25]:[Transporte]])</f>
        <v>35</v>
      </c>
    </row>
    <row r="117" spans="1:12" x14ac:dyDescent="0.25">
      <c r="A117" s="144">
        <v>202113</v>
      </c>
      <c r="B117" s="144" t="str">
        <f>+IFERROR(VLOOKUP(A117,Tabla2[#Data],2,0),"")</f>
        <v>LEONEL ISMAEL CORDOBA NARVAEZ</v>
      </c>
      <c r="C117" s="144" t="str">
        <f>+IFERROR(VLOOKUP(A117,Tabla2[#Data],3,0),"")</f>
        <v>Operador de Maquinaria Pesada III</v>
      </c>
      <c r="D117" s="144">
        <v>115</v>
      </c>
      <c r="E117" s="144">
        <v>43861</v>
      </c>
      <c r="F117" s="144" t="str">
        <f>+IFERROR(VLOOKUP(WEEKDAY(E117),Catalogo!$F$1:$G$7,2,0),"")</f>
        <v>VIERNES</v>
      </c>
      <c r="G117" s="144" t="s">
        <v>320</v>
      </c>
      <c r="H117" s="144"/>
      <c r="I117" s="144">
        <v>35</v>
      </c>
      <c r="J117" s="144"/>
      <c r="K117" s="144"/>
      <c r="L117" s="144">
        <f>SUM(Tabla1[[#This Row],[Desayuno C$ 25]:[Transporte]])</f>
        <v>35</v>
      </c>
    </row>
    <row r="118" spans="1:12" x14ac:dyDescent="0.25">
      <c r="A118" s="144">
        <v>212244</v>
      </c>
      <c r="B118" s="144" t="str">
        <f>+IFERROR(VLOOKUP(A118,Tabla2[#Data],2,0),"")</f>
        <v>LUIS MANUEL HERRERA MONDRAGON</v>
      </c>
      <c r="C118" s="144" t="str">
        <f>+IFERROR(VLOOKUP(A118,Tabla2[#Data],3,0),"")</f>
        <v>Operador de Maquinaria Pesada III</v>
      </c>
      <c r="D118" s="144">
        <v>116</v>
      </c>
      <c r="E118" s="144">
        <v>43861</v>
      </c>
      <c r="F118" s="144" t="str">
        <f>+IFERROR(VLOOKUP(WEEKDAY(E118),Catalogo!$F$1:$G$7,2,0),"")</f>
        <v>VIERNES</v>
      </c>
      <c r="G118" s="144" t="s">
        <v>320</v>
      </c>
      <c r="H118" s="144"/>
      <c r="I118" s="144">
        <v>35</v>
      </c>
      <c r="J118" s="144"/>
      <c r="K118" s="144"/>
      <c r="L118" s="144">
        <f>SUM(Tabla1[[#This Row],[Desayuno C$ 25]:[Transporte]])</f>
        <v>35</v>
      </c>
    </row>
    <row r="119" spans="1:12" x14ac:dyDescent="0.25">
      <c r="A119" s="144">
        <v>206966</v>
      </c>
      <c r="B119" s="144" t="str">
        <f>+IFERROR(VLOOKUP(A119,Tabla2[#Data],2,0),"")</f>
        <v>YELSON MANUEL GARCIA VAZQUEZ</v>
      </c>
      <c r="C119" s="144" t="str">
        <f>+IFERROR(VLOOKUP(A119,Tabla2[#Data],3,0),"")</f>
        <v>Operador de Maquinaria Pesada II</v>
      </c>
      <c r="D119" s="144">
        <v>117</v>
      </c>
      <c r="E119" s="144">
        <v>43861</v>
      </c>
      <c r="F119" s="144" t="str">
        <f>+IFERROR(VLOOKUP(WEEKDAY(E119),Catalogo!$F$1:$G$7,2,0),"")</f>
        <v>VIERNES</v>
      </c>
      <c r="G119" s="144" t="s">
        <v>220</v>
      </c>
      <c r="H119" s="144"/>
      <c r="I119" s="144">
        <v>65</v>
      </c>
      <c r="J119" s="144"/>
      <c r="K119" s="144"/>
      <c r="L119" s="144">
        <f>SUM(Tabla1[[#This Row],[Desayuno C$ 25]:[Transporte]])</f>
        <v>65</v>
      </c>
    </row>
    <row r="120" spans="1:12" x14ac:dyDescent="0.25">
      <c r="A120" s="144">
        <v>212407</v>
      </c>
      <c r="B120" s="144" t="str">
        <f>+IFERROR(VLOOKUP(A120,Tabla2[#Data],2,0),"")</f>
        <v>LEONEL ANTONIO SANTOS MARTINEZ</v>
      </c>
      <c r="C120" s="144" t="str">
        <f>+IFERROR(VLOOKUP(A120,Tabla2[#Data],3,0),"")</f>
        <v>Operador de Cabezal I</v>
      </c>
      <c r="D120" s="144">
        <v>118</v>
      </c>
      <c r="E120" s="144">
        <v>43861</v>
      </c>
      <c r="F120" s="144" t="str">
        <f>+IFERROR(VLOOKUP(WEEKDAY(E120),Catalogo!$F$1:$G$7,2,0),"")</f>
        <v>VIERNES</v>
      </c>
      <c r="G120" s="144" t="s">
        <v>320</v>
      </c>
      <c r="H120" s="144"/>
      <c r="I120" s="144">
        <v>35</v>
      </c>
      <c r="J120" s="144"/>
      <c r="K120" s="144"/>
      <c r="L120" s="144">
        <f>SUM(Tabla1[[#This Row],[Desayuno C$ 25]:[Transporte]])</f>
        <v>35</v>
      </c>
    </row>
    <row r="121" spans="1:12" x14ac:dyDescent="0.25">
      <c r="A121" s="144">
        <v>209780</v>
      </c>
      <c r="B121" s="144" t="str">
        <f>+IFERROR(VLOOKUP(A121,Tabla2[#Data],2,0),"")</f>
        <v>LUIS ADOLFO BARRERA AYALA</v>
      </c>
      <c r="C121" s="144" t="str">
        <f>+IFERROR(VLOOKUP(A121,Tabla2[#Data],3,0),"")</f>
        <v>Operador de Maquinaria Pesada III</v>
      </c>
      <c r="D121" s="144">
        <v>119</v>
      </c>
      <c r="E121" s="144">
        <v>43861</v>
      </c>
      <c r="F121" s="144" t="str">
        <f>+IFERROR(VLOOKUP(WEEKDAY(E121),Catalogo!$F$1:$G$7,2,0),"")</f>
        <v>VIERNES</v>
      </c>
      <c r="G121" s="144" t="s">
        <v>320</v>
      </c>
      <c r="H121" s="144"/>
      <c r="I121" s="144">
        <v>35</v>
      </c>
      <c r="J121" s="144"/>
      <c r="K121" s="144"/>
      <c r="L121" s="144">
        <f>SUM(Tabla1[[#This Row],[Desayuno C$ 25]:[Transporte]])</f>
        <v>35</v>
      </c>
    </row>
    <row r="122" spans="1:12" x14ac:dyDescent="0.25">
      <c r="A122" s="144">
        <v>213380</v>
      </c>
      <c r="B122" s="144" t="str">
        <f>+IFERROR(VLOOKUP(A122,Tabla2[#Data],2,0),"")</f>
        <v>GERARDO JOSE MEZA</v>
      </c>
      <c r="C122" s="144" t="str">
        <f>+IFERROR(VLOOKUP(A122,Tabla2[#Data],3,0),"")</f>
        <v>Operador de Maquinaria Pesada I</v>
      </c>
      <c r="D122" s="144">
        <v>120</v>
      </c>
      <c r="E122" s="144">
        <v>43861</v>
      </c>
      <c r="F122" s="144" t="str">
        <f>+IFERROR(VLOOKUP(WEEKDAY(E122),Catalogo!$F$1:$G$7,2,0),"")</f>
        <v>VIERNES</v>
      </c>
      <c r="G122" s="144" t="s">
        <v>320</v>
      </c>
      <c r="H122" s="144"/>
      <c r="I122" s="144">
        <v>35</v>
      </c>
      <c r="J122" s="144"/>
      <c r="K122" s="144"/>
      <c r="L122" s="144">
        <f>SUM(Tabla1[[#This Row],[Desayuno C$ 25]:[Transporte]])</f>
        <v>35</v>
      </c>
    </row>
    <row r="123" spans="1:12" x14ac:dyDescent="0.25">
      <c r="A123" s="144">
        <v>203428</v>
      </c>
      <c r="B123" s="144" t="str">
        <f>+IFERROR(VLOOKUP(A123,Tabla2[#Data],2,0),"")</f>
        <v>FERNANDO JOSE AYALA RIOS</v>
      </c>
      <c r="C123" s="144" t="str">
        <f>+IFERROR(VLOOKUP(A123,Tabla2[#Data],3,0),"")</f>
        <v>Ayudante II M</v>
      </c>
      <c r="D123" s="144">
        <v>121</v>
      </c>
      <c r="E123" s="144">
        <v>43861</v>
      </c>
      <c r="F123" s="144" t="str">
        <f>+IFERROR(VLOOKUP(WEEKDAY(E123),Catalogo!$F$1:$G$7,2,0),"")</f>
        <v>VIERNES</v>
      </c>
      <c r="G123" s="144" t="s">
        <v>320</v>
      </c>
      <c r="H123" s="144"/>
      <c r="I123" s="144">
        <v>35</v>
      </c>
      <c r="J123" s="144"/>
      <c r="K123" s="144"/>
      <c r="L123" s="144">
        <f>SUM(Tabla1[[#This Row],[Desayuno C$ 25]:[Transporte]])</f>
        <v>35</v>
      </c>
    </row>
    <row r="124" spans="1:12" x14ac:dyDescent="0.25">
      <c r="A124" s="144">
        <v>208362</v>
      </c>
      <c r="B124" s="144" t="str">
        <f>+IFERROR(VLOOKUP(A124,Tabla2[#Data],2,0),"")</f>
        <v>PABLO JUSTINO REAL NUÑEZ</v>
      </c>
      <c r="C124" s="144" t="str">
        <f>+IFERROR(VLOOKUP(A124,Tabla2[#Data],3,0),"")</f>
        <v>Operador de Maquinaria Pesada II</v>
      </c>
      <c r="D124" s="144">
        <v>122</v>
      </c>
      <c r="E124" s="144">
        <v>43861</v>
      </c>
      <c r="F124" s="144" t="str">
        <f>+IFERROR(VLOOKUP(WEEKDAY(E124),Catalogo!$F$1:$G$7,2,0),"")</f>
        <v>VIERNES</v>
      </c>
      <c r="G124" s="144" t="s">
        <v>320</v>
      </c>
      <c r="H124" s="144"/>
      <c r="I124" s="144">
        <v>35</v>
      </c>
      <c r="J124" s="144"/>
      <c r="K124" s="144"/>
      <c r="L124" s="144">
        <f>SUM(Tabla1[[#This Row],[Desayuno C$ 25]:[Transporte]])</f>
        <v>35</v>
      </c>
    </row>
    <row r="125" spans="1:12" x14ac:dyDescent="0.25">
      <c r="A125" s="144">
        <v>211475</v>
      </c>
      <c r="B125" s="144" t="str">
        <f>+IFERROR(VLOOKUP(A125,Tabla2[#Data],2,0),"")</f>
        <v>FREDDYS JOSUE AGUILERA ANDRADE</v>
      </c>
      <c r="C125" s="144" t="str">
        <f>+IFERROR(VLOOKUP(A125,Tabla2[#Data],3,0),"")</f>
        <v>Auxiliar de Patio de Caña</v>
      </c>
      <c r="D125" s="144">
        <v>123</v>
      </c>
      <c r="E125" s="144">
        <v>43862</v>
      </c>
      <c r="F125" s="144" t="str">
        <f>+IFERROR(VLOOKUP(WEEKDAY(E125),Catalogo!$F$1:$G$7,2,0),"")</f>
        <v>SÁBADO</v>
      </c>
      <c r="G125" s="144" t="s">
        <v>290</v>
      </c>
      <c r="H125" s="144"/>
      <c r="I125" s="144">
        <v>35</v>
      </c>
      <c r="J125" s="144"/>
      <c r="K125" s="144"/>
      <c r="L125" s="144">
        <f>SUM(Tabla1[[#This Row],[Desayuno C$ 25]:[Transporte]])</f>
        <v>35</v>
      </c>
    </row>
    <row r="126" spans="1:12" x14ac:dyDescent="0.25">
      <c r="A126" s="144">
        <v>207318</v>
      </c>
      <c r="B126" s="144" t="str">
        <f>+IFERROR(VLOOKUP(A126,Tabla2[#Data],2,0),"")</f>
        <v>HARRISON WILFREDO OLIVERA MENDOZA</v>
      </c>
      <c r="C126" s="144" t="str">
        <f>+IFERROR(VLOOKUP(A126,Tabla2[#Data],3,0),"")</f>
        <v>Ayudante II M</v>
      </c>
      <c r="D126" s="144">
        <v>124</v>
      </c>
      <c r="E126" s="144">
        <v>43862</v>
      </c>
      <c r="F126" s="144" t="str">
        <f>+IFERROR(VLOOKUP(WEEKDAY(E126),Catalogo!$F$1:$G$7,2,0),"")</f>
        <v>SÁBADO</v>
      </c>
      <c r="G126" s="144" t="s">
        <v>290</v>
      </c>
      <c r="H126" s="144"/>
      <c r="I126" s="144">
        <v>35</v>
      </c>
      <c r="J126" s="144"/>
      <c r="K126" s="144"/>
      <c r="L126" s="144">
        <f>SUM(Tabla1[[#This Row],[Desayuno C$ 25]:[Transporte]])</f>
        <v>35</v>
      </c>
    </row>
    <row r="127" spans="1:12" x14ac:dyDescent="0.25">
      <c r="A127" s="144">
        <v>204119</v>
      </c>
      <c r="B127" s="144" t="str">
        <f>+IFERROR(VLOOKUP(A127,Tabla2[#Data],2,0),"")</f>
        <v>ARMANDO JOSE CACERES PALMA</v>
      </c>
      <c r="C127" s="144" t="str">
        <f>+IFERROR(VLOOKUP(A127,Tabla2[#Data],3,0),"")</f>
        <v>Operador de Cabezal I</v>
      </c>
      <c r="D127" s="144">
        <v>125</v>
      </c>
      <c r="E127" s="144">
        <v>43862</v>
      </c>
      <c r="F127" s="144" t="str">
        <f>+IFERROR(VLOOKUP(WEEKDAY(E127),Catalogo!$F$1:$G$7,2,0),"")</f>
        <v>SÁBADO</v>
      </c>
      <c r="G127" s="144" t="s">
        <v>295</v>
      </c>
      <c r="H127" s="144"/>
      <c r="I127" s="144">
        <v>35</v>
      </c>
      <c r="J127" s="144"/>
      <c r="K127" s="144"/>
      <c r="L127" s="144">
        <f>SUM(Tabla1[[#This Row],[Desayuno C$ 25]:[Transporte]])</f>
        <v>35</v>
      </c>
    </row>
    <row r="128" spans="1:12" x14ac:dyDescent="0.25">
      <c r="A128" s="144">
        <v>212999</v>
      </c>
      <c r="B128" s="144" t="str">
        <f>+IFERROR(VLOOKUP(A128,Tabla2[#Data],2,0),"")</f>
        <v>CARLOS ALEXANDER PINEDA RAMIREZ</v>
      </c>
      <c r="C128" s="144" t="str">
        <f>+IFERROR(VLOOKUP(A128,Tabla2[#Data],3,0),"")</f>
        <v>Operador de Cabezal I</v>
      </c>
      <c r="D128" s="144">
        <v>126</v>
      </c>
      <c r="E128" s="144">
        <v>43862</v>
      </c>
      <c r="F128" s="144" t="str">
        <f>+IFERROR(VLOOKUP(WEEKDAY(E128),Catalogo!$F$1:$G$7,2,0),"")</f>
        <v>SÁBADO</v>
      </c>
      <c r="G128" s="144" t="s">
        <v>219</v>
      </c>
      <c r="H128" s="144"/>
      <c r="I128" s="144">
        <v>65</v>
      </c>
      <c r="J128" s="144"/>
      <c r="K128" s="144"/>
      <c r="L128" s="144">
        <f>SUM(Tabla1[[#This Row],[Desayuno C$ 25]:[Transporte]])</f>
        <v>65</v>
      </c>
    </row>
    <row r="129" spans="1:12" x14ac:dyDescent="0.25">
      <c r="A129" s="144">
        <v>212314</v>
      </c>
      <c r="B129" s="144" t="str">
        <f>+IFERROR(VLOOKUP(A129,Tabla2[#Data],2,0),"")</f>
        <v>JUAN ANIBAL CARDOZA OVIEDO</v>
      </c>
      <c r="C129" s="144" t="str">
        <f>+IFERROR(VLOOKUP(A129,Tabla2[#Data],3,0),"")</f>
        <v>Operador de Cabezal I</v>
      </c>
      <c r="D129" s="144">
        <v>127</v>
      </c>
      <c r="E129" s="144">
        <v>43862</v>
      </c>
      <c r="F129" s="144" t="str">
        <f>+IFERROR(VLOOKUP(WEEKDAY(E129),Catalogo!$F$1:$G$7,2,0),"")</f>
        <v>SÁBADO</v>
      </c>
      <c r="G129" s="144" t="s">
        <v>219</v>
      </c>
      <c r="H129" s="144"/>
      <c r="I129" s="144">
        <v>65</v>
      </c>
      <c r="J129" s="144"/>
      <c r="K129" s="144"/>
      <c r="L129" s="144">
        <f>SUM(Tabla1[[#This Row],[Desayuno C$ 25]:[Transporte]])</f>
        <v>65</v>
      </c>
    </row>
    <row r="130" spans="1:12" x14ac:dyDescent="0.25">
      <c r="A130" s="144">
        <v>213288</v>
      </c>
      <c r="B130" s="144" t="str">
        <f>+IFERROR(VLOOKUP(A130,Tabla2[#Data],2,0),"")</f>
        <v>MANUEL ENRIQUE GUEVARA GODOY</v>
      </c>
      <c r="C130" s="144" t="str">
        <f>+IFERROR(VLOOKUP(A130,Tabla2[#Data],3,0),"")</f>
        <v>Operador de Cabezal I</v>
      </c>
      <c r="D130" s="144">
        <v>128</v>
      </c>
      <c r="E130" s="144">
        <v>43862</v>
      </c>
      <c r="F130" s="144" t="str">
        <f>+IFERROR(VLOOKUP(WEEKDAY(E130),Catalogo!$F$1:$G$7,2,0),"")</f>
        <v>SÁBADO</v>
      </c>
      <c r="G130" s="144" t="s">
        <v>290</v>
      </c>
      <c r="H130" s="144"/>
      <c r="I130" s="144">
        <v>35</v>
      </c>
      <c r="J130" s="144"/>
      <c r="K130" s="144"/>
      <c r="L130" s="144">
        <f>SUM(Tabla1[[#This Row],[Desayuno C$ 25]:[Transporte]])</f>
        <v>35</v>
      </c>
    </row>
    <row r="131" spans="1:12" x14ac:dyDescent="0.25">
      <c r="A131" s="144">
        <v>206970</v>
      </c>
      <c r="B131" s="144" t="str">
        <f>+IFERROR(VLOOKUP(A131,Tabla2[#Data],2,0),"")</f>
        <v>BAYARDO ANTONIO FLORES REYES</v>
      </c>
      <c r="C131" s="144" t="str">
        <f>+IFERROR(VLOOKUP(A131,Tabla2[#Data],3,0),"")</f>
        <v>Operador de Maquinaria Pesada II</v>
      </c>
      <c r="D131" s="144">
        <v>129</v>
      </c>
      <c r="E131" s="144">
        <v>43862</v>
      </c>
      <c r="F131" s="144" t="str">
        <f>+IFERROR(VLOOKUP(WEEKDAY(E131),Catalogo!$F$1:$G$7,2,0),"")</f>
        <v>SÁBADO</v>
      </c>
      <c r="G131" s="144" t="s">
        <v>320</v>
      </c>
      <c r="H131" s="144"/>
      <c r="I131" s="144">
        <v>35</v>
      </c>
      <c r="J131" s="144"/>
      <c r="K131" s="144"/>
      <c r="L131" s="144">
        <f>SUM(Tabla1[[#This Row],[Desayuno C$ 25]:[Transporte]])</f>
        <v>35</v>
      </c>
    </row>
    <row r="132" spans="1:12" x14ac:dyDescent="0.25">
      <c r="A132" s="144">
        <v>212248</v>
      </c>
      <c r="B132" s="144" t="str">
        <f>+IFERROR(VLOOKUP(A132,Tabla2[#Data],2,0),"")</f>
        <v>ERNALDO DAVID GARCIA MEZA</v>
      </c>
      <c r="C132" s="144" t="str">
        <f>+IFERROR(VLOOKUP(A132,Tabla2[#Data],3,0),"")</f>
        <v>Operador de Maquinaria Pesada II</v>
      </c>
      <c r="D132" s="144">
        <v>130</v>
      </c>
      <c r="E132" s="144">
        <v>43862</v>
      </c>
      <c r="F132" s="144" t="str">
        <f>+IFERROR(VLOOKUP(WEEKDAY(E132),Catalogo!$F$1:$G$7,2,0),"")</f>
        <v>SÁBADO</v>
      </c>
      <c r="G132" s="144" t="s">
        <v>320</v>
      </c>
      <c r="H132" s="144"/>
      <c r="I132" s="144">
        <v>35</v>
      </c>
      <c r="J132" s="144"/>
      <c r="K132" s="144"/>
      <c r="L132" s="144">
        <f>SUM(Tabla1[[#This Row],[Desayuno C$ 25]:[Transporte]])</f>
        <v>35</v>
      </c>
    </row>
    <row r="133" spans="1:12" x14ac:dyDescent="0.25">
      <c r="A133" s="144">
        <v>206988</v>
      </c>
      <c r="B133" s="144" t="str">
        <f>+IFERROR(VLOOKUP(A133,Tabla2[#Data],2,0),"")</f>
        <v>EVERT FRANCISCO RAYO PINEDA</v>
      </c>
      <c r="C133" s="144" t="str">
        <f>+IFERROR(VLOOKUP(A133,Tabla2[#Data],3,0),"")</f>
        <v>Operador de Maquinaria Pesada I</v>
      </c>
      <c r="D133" s="144">
        <v>131</v>
      </c>
      <c r="E133" s="144">
        <v>43862</v>
      </c>
      <c r="F133" s="144" t="str">
        <f>+IFERROR(VLOOKUP(WEEKDAY(E133),Catalogo!$F$1:$G$7,2,0),"")</f>
        <v>SÁBADO</v>
      </c>
      <c r="G133" s="144" t="s">
        <v>320</v>
      </c>
      <c r="H133" s="144"/>
      <c r="I133" s="144">
        <v>35</v>
      </c>
      <c r="J133" s="144"/>
      <c r="K133" s="144"/>
      <c r="L133" s="144">
        <f>SUM(Tabla1[[#This Row],[Desayuno C$ 25]:[Transporte]])</f>
        <v>35</v>
      </c>
    </row>
    <row r="134" spans="1:12" x14ac:dyDescent="0.25">
      <c r="A134" s="144">
        <v>202113</v>
      </c>
      <c r="B134" s="144" t="str">
        <f>+IFERROR(VLOOKUP(A134,Tabla2[#Data],2,0),"")</f>
        <v>LEONEL ISMAEL CORDOBA NARVAEZ</v>
      </c>
      <c r="C134" s="144" t="str">
        <f>+IFERROR(VLOOKUP(A134,Tabla2[#Data],3,0),"")</f>
        <v>Operador de Maquinaria Pesada III</v>
      </c>
      <c r="D134" s="144">
        <v>132</v>
      </c>
      <c r="E134" s="144">
        <v>43862</v>
      </c>
      <c r="F134" s="144" t="str">
        <f>+IFERROR(VLOOKUP(WEEKDAY(E134),Catalogo!$F$1:$G$7,2,0),"")</f>
        <v>SÁBADO</v>
      </c>
      <c r="G134" s="144" t="s">
        <v>290</v>
      </c>
      <c r="H134" s="144"/>
      <c r="I134" s="144">
        <v>35</v>
      </c>
      <c r="J134" s="144"/>
      <c r="K134" s="144"/>
      <c r="L134" s="144">
        <f>SUM(Tabla1[[#This Row],[Desayuno C$ 25]:[Transporte]])</f>
        <v>35</v>
      </c>
    </row>
    <row r="135" spans="1:12" x14ac:dyDescent="0.25">
      <c r="A135" s="144">
        <v>202121</v>
      </c>
      <c r="B135" s="144" t="str">
        <f>+IFERROR(VLOOKUP(A135,Tabla2[#Data],2,0),"")</f>
        <v>LUIS DE JESUS TORREZ TORREZ</v>
      </c>
      <c r="C135" s="144" t="str">
        <f>+IFERROR(VLOOKUP(A135,Tabla2[#Data],3,0),"")</f>
        <v>Operador de Maquinaria Pesada II</v>
      </c>
      <c r="D135" s="144">
        <v>133</v>
      </c>
      <c r="E135" s="144">
        <v>43862</v>
      </c>
      <c r="F135" s="144" t="str">
        <f>+IFERROR(VLOOKUP(WEEKDAY(E135),Catalogo!$F$1:$G$7,2,0),"")</f>
        <v>SÁBADO</v>
      </c>
      <c r="G135" s="144" t="s">
        <v>219</v>
      </c>
      <c r="H135" s="144"/>
      <c r="I135" s="144">
        <v>65</v>
      </c>
      <c r="J135" s="144"/>
      <c r="K135" s="144"/>
      <c r="L135" s="144">
        <f>SUM(Tabla1[[#This Row],[Desayuno C$ 25]:[Transporte]])</f>
        <v>65</v>
      </c>
    </row>
    <row r="136" spans="1:12" x14ac:dyDescent="0.25">
      <c r="A136" s="144">
        <v>212244</v>
      </c>
      <c r="B136" s="144" t="str">
        <f>+IFERROR(VLOOKUP(A136,Tabla2[#Data],2,0),"")</f>
        <v>LUIS MANUEL HERRERA MONDRAGON</v>
      </c>
      <c r="C136" s="144" t="str">
        <f>+IFERROR(VLOOKUP(A136,Tabla2[#Data],3,0),"")</f>
        <v>Operador de Maquinaria Pesada III</v>
      </c>
      <c r="D136" s="144">
        <v>134</v>
      </c>
      <c r="E136" s="144">
        <v>43862</v>
      </c>
      <c r="F136" s="144" t="str">
        <f>+IFERROR(VLOOKUP(WEEKDAY(E136),Catalogo!$F$1:$G$7,2,0),"")</f>
        <v>SÁBADO</v>
      </c>
      <c r="G136" s="144" t="s">
        <v>320</v>
      </c>
      <c r="H136" s="144"/>
      <c r="I136" s="144">
        <v>35</v>
      </c>
      <c r="J136" s="144"/>
      <c r="K136" s="144"/>
      <c r="L136" s="144">
        <f>SUM(Tabla1[[#This Row],[Desayuno C$ 25]:[Transporte]])</f>
        <v>35</v>
      </c>
    </row>
    <row r="137" spans="1:12" x14ac:dyDescent="0.25">
      <c r="A137" s="144">
        <v>203394</v>
      </c>
      <c r="B137" s="144" t="str">
        <f>+IFERROR(VLOOKUP(A137,Tabla2[#Data],2,0),"")</f>
        <v>OSCAR FRANCISCO CARCAMO HERRERA</v>
      </c>
      <c r="C137" s="144" t="str">
        <f>+IFERROR(VLOOKUP(A137,Tabla2[#Data],3,0),"")</f>
        <v>Operador de Maquinaria Pesada I</v>
      </c>
      <c r="D137" s="144">
        <v>135</v>
      </c>
      <c r="E137" s="144">
        <v>43862</v>
      </c>
      <c r="F137" s="144" t="str">
        <f>+IFERROR(VLOOKUP(WEEKDAY(E137),Catalogo!$F$1:$G$7,2,0),"")</f>
        <v>SÁBADO</v>
      </c>
      <c r="G137" s="144" t="s">
        <v>320</v>
      </c>
      <c r="H137" s="144"/>
      <c r="I137" s="144">
        <v>35</v>
      </c>
      <c r="J137" s="144"/>
      <c r="K137" s="144"/>
      <c r="L137" s="144">
        <f>SUM(Tabla1[[#This Row],[Desayuno C$ 25]:[Transporte]])</f>
        <v>35</v>
      </c>
    </row>
    <row r="138" spans="1:12" x14ac:dyDescent="0.25">
      <c r="A138" s="144">
        <v>213353</v>
      </c>
      <c r="B138" s="144" t="str">
        <f>+IFERROR(VLOOKUP(A138,Tabla2[#Data],2,0),"")</f>
        <v>ELOY ANTONIO HERRERA</v>
      </c>
      <c r="C138" s="144" t="str">
        <f>+IFERROR(VLOOKUP(A138,Tabla2[#Data],3,0),"")</f>
        <v>Operador de Cabezal I</v>
      </c>
      <c r="D138" s="144">
        <v>136</v>
      </c>
      <c r="E138" s="144">
        <v>43862</v>
      </c>
      <c r="F138" s="144" t="str">
        <f>+IFERROR(VLOOKUP(WEEKDAY(E138),Catalogo!$F$1:$G$7,2,0),"")</f>
        <v>SÁBADO</v>
      </c>
      <c r="G138" s="144" t="s">
        <v>290</v>
      </c>
      <c r="H138" s="144"/>
      <c r="I138" s="144">
        <v>35</v>
      </c>
      <c r="J138" s="144"/>
      <c r="K138" s="144"/>
      <c r="L138" s="144">
        <f>SUM(Tabla1[[#This Row],[Desayuno C$ 25]:[Transporte]])</f>
        <v>35</v>
      </c>
    </row>
    <row r="139" spans="1:12" x14ac:dyDescent="0.25">
      <c r="A139" s="144">
        <v>209780</v>
      </c>
      <c r="B139" s="144" t="str">
        <f>+IFERROR(VLOOKUP(A139,Tabla2[#Data],2,0),"")</f>
        <v>LUIS ADOLFO BARRERA AYALA</v>
      </c>
      <c r="C139" s="144" t="str">
        <f>+IFERROR(VLOOKUP(A139,Tabla2[#Data],3,0),"")</f>
        <v>Operador de Maquinaria Pesada III</v>
      </c>
      <c r="D139" s="144">
        <v>137</v>
      </c>
      <c r="E139" s="144">
        <v>43862</v>
      </c>
      <c r="F139" s="144" t="str">
        <f>+IFERROR(VLOOKUP(WEEKDAY(E139),Catalogo!$F$1:$G$7,2,0),"")</f>
        <v>SÁBADO</v>
      </c>
      <c r="G139" s="144" t="s">
        <v>320</v>
      </c>
      <c r="H139" s="144"/>
      <c r="I139" s="144">
        <v>35</v>
      </c>
      <c r="J139" s="144"/>
      <c r="K139" s="144"/>
      <c r="L139" s="144">
        <f>SUM(Tabla1[[#This Row],[Desayuno C$ 25]:[Transporte]])</f>
        <v>35</v>
      </c>
    </row>
    <row r="140" spans="1:12" x14ac:dyDescent="0.25">
      <c r="A140" s="144">
        <v>213380</v>
      </c>
      <c r="B140" s="144" t="str">
        <f>+IFERROR(VLOOKUP(A140,Tabla2[#Data],2,0),"")</f>
        <v>GERARDO JOSE MEZA</v>
      </c>
      <c r="C140" s="144" t="str">
        <f>+IFERROR(VLOOKUP(A140,Tabla2[#Data],3,0),"")</f>
        <v>Operador de Maquinaria Pesada I</v>
      </c>
      <c r="D140" s="144">
        <v>138</v>
      </c>
      <c r="E140" s="144">
        <v>43862</v>
      </c>
      <c r="F140" s="144" t="str">
        <f>+IFERROR(VLOOKUP(WEEKDAY(E140),Catalogo!$F$1:$G$7,2,0),"")</f>
        <v>SÁBADO</v>
      </c>
      <c r="G140" s="144" t="s">
        <v>320</v>
      </c>
      <c r="H140" s="144"/>
      <c r="I140" s="144">
        <v>35</v>
      </c>
      <c r="J140" s="144"/>
      <c r="K140" s="144"/>
      <c r="L140" s="144">
        <f>SUM(Tabla1[[#This Row],[Desayuno C$ 25]:[Transporte]])</f>
        <v>35</v>
      </c>
    </row>
    <row r="141" spans="1:12" x14ac:dyDescent="0.25">
      <c r="A141" s="144">
        <v>204119</v>
      </c>
      <c r="B141" s="144" t="str">
        <f>+IFERROR(VLOOKUP(A141,Tabla2[#Data],2,0),"")</f>
        <v>ARMANDO JOSE CACERES PALMA</v>
      </c>
      <c r="C141" s="144" t="str">
        <f>+IFERROR(VLOOKUP(A141,Tabla2[#Data],3,0),"")</f>
        <v>Operador de Cabezal I</v>
      </c>
      <c r="D141" s="144">
        <v>139</v>
      </c>
      <c r="E141" s="144">
        <v>43863</v>
      </c>
      <c r="F141" s="144" t="str">
        <f>+IFERROR(VLOOKUP(WEEKDAY(E141),Catalogo!$F$1:$G$7,2,0),"")</f>
        <v>DOMINGO</v>
      </c>
      <c r="G141" s="144" t="s">
        <v>290</v>
      </c>
      <c r="H141" s="144"/>
      <c r="I141" s="144">
        <v>35</v>
      </c>
      <c r="J141" s="144"/>
      <c r="K141" s="144"/>
      <c r="L141" s="144">
        <f>SUM(Tabla1[[#This Row],[Desayuno C$ 25]:[Transporte]])</f>
        <v>35</v>
      </c>
    </row>
    <row r="142" spans="1:12" x14ac:dyDescent="0.25">
      <c r="A142" s="144">
        <v>206970</v>
      </c>
      <c r="B142" s="144" t="str">
        <f>+IFERROR(VLOOKUP(A142,Tabla2[#Data],2,0),"")</f>
        <v>BAYARDO ANTONIO FLORES REYES</v>
      </c>
      <c r="C142" s="144" t="str">
        <f>+IFERROR(VLOOKUP(A142,Tabla2[#Data],3,0),"")</f>
        <v>Operador de Maquinaria Pesada II</v>
      </c>
      <c r="D142" s="144">
        <v>140</v>
      </c>
      <c r="E142" s="144">
        <v>43863</v>
      </c>
      <c r="F142" s="144" t="str">
        <f>+IFERROR(VLOOKUP(WEEKDAY(E142),Catalogo!$F$1:$G$7,2,0),"")</f>
        <v>DOMINGO</v>
      </c>
      <c r="G142" s="144" t="s">
        <v>320</v>
      </c>
      <c r="H142" s="144"/>
      <c r="I142" s="144">
        <v>35</v>
      </c>
      <c r="J142" s="144"/>
      <c r="K142" s="144"/>
      <c r="L142" s="144">
        <f>SUM(Tabla1[[#This Row],[Desayuno C$ 25]:[Transporte]])</f>
        <v>35</v>
      </c>
    </row>
    <row r="143" spans="1:12" x14ac:dyDescent="0.25">
      <c r="A143" s="144">
        <v>208243</v>
      </c>
      <c r="B143" s="144" t="str">
        <f>+IFERROR(VLOOKUP(A143,Tabla2[#Data],2,0),"")</f>
        <v>CARLOS JOSE REYES AVENDAÑO</v>
      </c>
      <c r="C143" s="144" t="str">
        <f>+IFERROR(VLOOKUP(A143,Tabla2[#Data],3,0),"")</f>
        <v>Operador de Maquinaria Pesada I</v>
      </c>
      <c r="D143" s="144">
        <v>141</v>
      </c>
      <c r="E143" s="144">
        <v>43863</v>
      </c>
      <c r="F143" s="144" t="str">
        <f>+IFERROR(VLOOKUP(WEEKDAY(E143),Catalogo!$F$1:$G$7,2,0),"")</f>
        <v>DOMINGO</v>
      </c>
      <c r="G143" s="144" t="s">
        <v>290</v>
      </c>
      <c r="H143" s="144"/>
      <c r="I143" s="144">
        <v>35</v>
      </c>
      <c r="J143" s="144"/>
      <c r="K143" s="144"/>
      <c r="L143" s="144">
        <f>SUM(Tabla1[[#This Row],[Desayuno C$ 25]:[Transporte]])</f>
        <v>35</v>
      </c>
    </row>
    <row r="144" spans="1:12" x14ac:dyDescent="0.25">
      <c r="A144" s="144">
        <v>212999</v>
      </c>
      <c r="B144" s="144" t="str">
        <f>+IFERROR(VLOOKUP(A144,Tabla2[#Data],2,0),"")</f>
        <v>CARLOS ALEXANDER PINEDA RAMIREZ</v>
      </c>
      <c r="C144" s="144" t="str">
        <f>+IFERROR(VLOOKUP(A144,Tabla2[#Data],3,0),"")</f>
        <v>Operador de Cabezal I</v>
      </c>
      <c r="D144" s="144">
        <v>142</v>
      </c>
      <c r="E144" s="144">
        <v>43863</v>
      </c>
      <c r="F144" s="144" t="str">
        <f>+IFERROR(VLOOKUP(WEEKDAY(E144),Catalogo!$F$1:$G$7,2,0),"")</f>
        <v>DOMINGO</v>
      </c>
      <c r="G144" s="144" t="s">
        <v>288</v>
      </c>
      <c r="H144" s="144"/>
      <c r="I144" s="144">
        <v>35</v>
      </c>
      <c r="J144" s="144"/>
      <c r="K144" s="144"/>
      <c r="L144" s="144">
        <f>SUM(Tabla1[[#This Row],[Desayuno C$ 25]:[Transporte]])</f>
        <v>35</v>
      </c>
    </row>
    <row r="145" spans="1:12" x14ac:dyDescent="0.25">
      <c r="A145" s="144">
        <v>212248</v>
      </c>
      <c r="B145" s="144" t="str">
        <f>+IFERROR(VLOOKUP(A145,Tabla2[#Data],2,0),"")</f>
        <v>ERNALDO DAVID GARCIA MEZA</v>
      </c>
      <c r="C145" s="144" t="str">
        <f>+IFERROR(VLOOKUP(A145,Tabla2[#Data],3,0),"")</f>
        <v>Operador de Maquinaria Pesada II</v>
      </c>
      <c r="D145" s="144">
        <v>143</v>
      </c>
      <c r="E145" s="144">
        <v>43863</v>
      </c>
      <c r="F145" s="144" t="str">
        <f>+IFERROR(VLOOKUP(WEEKDAY(E145),Catalogo!$F$1:$G$7,2,0),"")</f>
        <v>DOMINGO</v>
      </c>
      <c r="G145" s="144" t="s">
        <v>320</v>
      </c>
      <c r="H145" s="144"/>
      <c r="I145" s="144">
        <v>35</v>
      </c>
      <c r="J145" s="144"/>
      <c r="K145" s="144"/>
      <c r="L145" s="144">
        <f>SUM(Tabla1[[#This Row],[Desayuno C$ 25]:[Transporte]])</f>
        <v>35</v>
      </c>
    </row>
    <row r="146" spans="1:12" x14ac:dyDescent="0.25">
      <c r="A146" s="144">
        <v>206988</v>
      </c>
      <c r="B146" s="144" t="str">
        <f>+IFERROR(VLOOKUP(A146,Tabla2[#Data],2,0),"")</f>
        <v>EVERT FRANCISCO RAYO PINEDA</v>
      </c>
      <c r="C146" s="144" t="str">
        <f>+IFERROR(VLOOKUP(A146,Tabla2[#Data],3,0),"")</f>
        <v>Operador de Maquinaria Pesada I</v>
      </c>
      <c r="D146" s="144">
        <v>144</v>
      </c>
      <c r="E146" s="144">
        <v>43863</v>
      </c>
      <c r="F146" s="144" t="str">
        <f>+IFERROR(VLOOKUP(WEEKDAY(E146),Catalogo!$F$1:$G$7,2,0),"")</f>
        <v>DOMINGO</v>
      </c>
      <c r="G146" s="144" t="s">
        <v>320</v>
      </c>
      <c r="H146" s="144"/>
      <c r="I146" s="144">
        <v>35</v>
      </c>
      <c r="J146" s="144"/>
      <c r="K146" s="144"/>
      <c r="L146" s="144">
        <f>SUM(Tabla1[[#This Row],[Desayuno C$ 25]:[Transporte]])</f>
        <v>35</v>
      </c>
    </row>
    <row r="147" spans="1:12" x14ac:dyDescent="0.25">
      <c r="A147" s="144">
        <v>202121</v>
      </c>
      <c r="B147" s="144" t="str">
        <f>+IFERROR(VLOOKUP(A147,Tabla2[#Data],2,0),"")</f>
        <v>LUIS DE JESUS TORREZ TORREZ</v>
      </c>
      <c r="C147" s="144" t="str">
        <f>+IFERROR(VLOOKUP(A147,Tabla2[#Data],3,0),"")</f>
        <v>Operador de Maquinaria Pesada II</v>
      </c>
      <c r="D147" s="144">
        <v>145</v>
      </c>
      <c r="E147" s="144">
        <v>43863</v>
      </c>
      <c r="F147" s="144" t="str">
        <f>+IFERROR(VLOOKUP(WEEKDAY(E147),Catalogo!$F$1:$G$7,2,0),"")</f>
        <v>DOMINGO</v>
      </c>
      <c r="G147" s="144" t="s">
        <v>291</v>
      </c>
      <c r="H147" s="144"/>
      <c r="I147" s="144">
        <v>35</v>
      </c>
      <c r="J147" s="144"/>
      <c r="K147" s="144"/>
      <c r="L147" s="144">
        <f>SUM(Tabla1[[#This Row],[Desayuno C$ 25]:[Transporte]])</f>
        <v>35</v>
      </c>
    </row>
    <row r="148" spans="1:12" x14ac:dyDescent="0.25">
      <c r="A148" s="144">
        <v>203394</v>
      </c>
      <c r="B148" s="144" t="str">
        <f>+IFERROR(VLOOKUP(A148,Tabla2[#Data],2,0),"")</f>
        <v>OSCAR FRANCISCO CARCAMO HERRERA</v>
      </c>
      <c r="C148" s="144" t="str">
        <f>+IFERROR(VLOOKUP(A148,Tabla2[#Data],3,0),"")</f>
        <v>Operador de Maquinaria Pesada I</v>
      </c>
      <c r="D148" s="144">
        <v>146</v>
      </c>
      <c r="E148" s="144">
        <v>43863</v>
      </c>
      <c r="F148" s="144" t="str">
        <f>+IFERROR(VLOOKUP(WEEKDAY(E148),Catalogo!$F$1:$G$7,2,0),"")</f>
        <v>DOMINGO</v>
      </c>
      <c r="G148" s="144" t="s">
        <v>320</v>
      </c>
      <c r="H148" s="144"/>
      <c r="I148" s="144">
        <v>35</v>
      </c>
      <c r="J148" s="144"/>
      <c r="K148" s="144"/>
      <c r="L148" s="144">
        <f>SUM(Tabla1[[#This Row],[Desayuno C$ 25]:[Transporte]])</f>
        <v>35</v>
      </c>
    </row>
    <row r="149" spans="1:12" x14ac:dyDescent="0.25">
      <c r="A149" s="144">
        <v>210471</v>
      </c>
      <c r="B149" s="144" t="str">
        <f>+IFERROR(VLOOKUP(A149,Tabla2[#Data],2,0),"")</f>
        <v>REYNALDO JOSE RIVERA MARTINEZ</v>
      </c>
      <c r="C149" s="144" t="str">
        <f>+IFERROR(VLOOKUP(A149,Tabla2[#Data],3,0),"")</f>
        <v>Operador de Maquinaria Pesada III</v>
      </c>
      <c r="D149" s="144">
        <v>147</v>
      </c>
      <c r="E149" s="144">
        <v>43863</v>
      </c>
      <c r="F149" s="144" t="str">
        <f>+IFERROR(VLOOKUP(WEEKDAY(E149),Catalogo!$F$1:$G$7,2,0),"")</f>
        <v>DOMINGO</v>
      </c>
      <c r="G149" s="144" t="s">
        <v>320</v>
      </c>
      <c r="H149" s="144"/>
      <c r="I149" s="144">
        <v>35</v>
      </c>
      <c r="J149" s="144"/>
      <c r="K149" s="144"/>
      <c r="L149" s="144">
        <f>SUM(Tabla1[[#This Row],[Desayuno C$ 25]:[Transporte]])</f>
        <v>35</v>
      </c>
    </row>
    <row r="150" spans="1:12" x14ac:dyDescent="0.25">
      <c r="A150" s="144">
        <v>204112</v>
      </c>
      <c r="B150" s="144" t="str">
        <f>+IFERROR(VLOOKUP(A150,Tabla2[#Data],2,0),"")</f>
        <v>VICENTE DE JESUS ROMERO LANZAS</v>
      </c>
      <c r="C150" s="144" t="str">
        <f>+IFERROR(VLOOKUP(A150,Tabla2[#Data],3,0),"")</f>
        <v>Operador de Maquinaria Pesada II</v>
      </c>
      <c r="D150" s="144">
        <v>148</v>
      </c>
      <c r="E150" s="144">
        <v>43863</v>
      </c>
      <c r="F150" s="144" t="str">
        <f>+IFERROR(VLOOKUP(WEEKDAY(E150),Catalogo!$F$1:$G$7,2,0),"")</f>
        <v>DOMINGO</v>
      </c>
      <c r="G150" s="144" t="s">
        <v>290</v>
      </c>
      <c r="H150" s="144"/>
      <c r="I150" s="144">
        <v>35</v>
      </c>
      <c r="J150" s="144"/>
      <c r="K150" s="144"/>
      <c r="L150" s="144">
        <f>SUM(Tabla1[[#This Row],[Desayuno C$ 25]:[Transporte]])</f>
        <v>35</v>
      </c>
    </row>
    <row r="151" spans="1:12" x14ac:dyDescent="0.25">
      <c r="A151" s="144">
        <v>208244</v>
      </c>
      <c r="B151" s="144" t="str">
        <f>+IFERROR(VLOOKUP(A151,Tabla2[#Data],2,0),"")</f>
        <v>WILLBERTH JOSE OSORIO MERCADO</v>
      </c>
      <c r="C151" s="144" t="str">
        <f>+IFERROR(VLOOKUP(A151,Tabla2[#Data],3,0),"")</f>
        <v>Operador de Cabezal I</v>
      </c>
      <c r="D151" s="144">
        <v>149</v>
      </c>
      <c r="E151" s="144">
        <v>43863</v>
      </c>
      <c r="F151" s="144" t="str">
        <f>+IFERROR(VLOOKUP(WEEKDAY(E151),Catalogo!$F$1:$G$7,2,0),"")</f>
        <v>DOMINGO</v>
      </c>
      <c r="G151" s="144" t="s">
        <v>288</v>
      </c>
      <c r="H151" s="144"/>
      <c r="I151" s="144">
        <v>35</v>
      </c>
      <c r="J151" s="144"/>
      <c r="K151" s="144"/>
      <c r="L151" s="144">
        <f>SUM(Tabla1[[#This Row],[Desayuno C$ 25]:[Transporte]])</f>
        <v>35</v>
      </c>
    </row>
    <row r="152" spans="1:12" x14ac:dyDescent="0.25">
      <c r="A152" s="144">
        <v>212407</v>
      </c>
      <c r="B152" s="144" t="str">
        <f>+IFERROR(VLOOKUP(A152,Tabla2[#Data],2,0),"")</f>
        <v>LEONEL ANTONIO SANTOS MARTINEZ</v>
      </c>
      <c r="C152" s="144" t="str">
        <f>+IFERROR(VLOOKUP(A152,Tabla2[#Data],3,0),"")</f>
        <v>Operador de Cabezal I</v>
      </c>
      <c r="D152" s="144">
        <v>150</v>
      </c>
      <c r="E152" s="144">
        <v>43863</v>
      </c>
      <c r="F152" s="144" t="str">
        <f>+IFERROR(VLOOKUP(WEEKDAY(E152),Catalogo!$F$1:$G$7,2,0),"")</f>
        <v>DOMINGO</v>
      </c>
      <c r="G152" s="144" t="s">
        <v>320</v>
      </c>
      <c r="H152" s="144"/>
      <c r="I152" s="144">
        <v>35</v>
      </c>
      <c r="J152" s="144"/>
      <c r="K152" s="144"/>
      <c r="L152" s="144">
        <f>SUM(Tabla1[[#This Row],[Desayuno C$ 25]:[Transporte]])</f>
        <v>35</v>
      </c>
    </row>
    <row r="153" spans="1:12" x14ac:dyDescent="0.25">
      <c r="A153" s="144">
        <v>213380</v>
      </c>
      <c r="B153" s="144" t="str">
        <f>+IFERROR(VLOOKUP(A153,Tabla2[#Data],2,0),"")</f>
        <v>GERARDO JOSE MEZA</v>
      </c>
      <c r="C153" s="144" t="str">
        <f>+IFERROR(VLOOKUP(A153,Tabla2[#Data],3,0),"")</f>
        <v>Operador de Maquinaria Pesada I</v>
      </c>
      <c r="D153" s="144">
        <v>151</v>
      </c>
      <c r="E153" s="144">
        <v>43863</v>
      </c>
      <c r="F153" s="144" t="str">
        <f>+IFERROR(VLOOKUP(WEEKDAY(E153),Catalogo!$F$1:$G$7,2,0),"")</f>
        <v>DOMINGO</v>
      </c>
      <c r="G153" s="144" t="s">
        <v>320</v>
      </c>
      <c r="H153" s="144"/>
      <c r="I153" s="144">
        <v>35</v>
      </c>
      <c r="J153" s="144"/>
      <c r="K153" s="144"/>
      <c r="L153" s="144">
        <f>SUM(Tabla1[[#This Row],[Desayuno C$ 25]:[Transporte]])</f>
        <v>35</v>
      </c>
    </row>
    <row r="154" spans="1:12" x14ac:dyDescent="0.25">
      <c r="A154" s="144">
        <v>208362</v>
      </c>
      <c r="B154" s="144" t="str">
        <f>+IFERROR(VLOOKUP(A154,Tabla2[#Data],2,0),"")</f>
        <v>PABLO JUSTINO REAL NUÑEZ</v>
      </c>
      <c r="C154" s="144" t="str">
        <f>+IFERROR(VLOOKUP(A154,Tabla2[#Data],3,0),"")</f>
        <v>Operador de Maquinaria Pesada II</v>
      </c>
      <c r="D154" s="144">
        <v>152</v>
      </c>
      <c r="E154" s="144">
        <v>43863</v>
      </c>
      <c r="F154" s="144" t="str">
        <f>+IFERROR(VLOOKUP(WEEKDAY(E154),Catalogo!$F$1:$G$7,2,0),"")</f>
        <v>DOMINGO</v>
      </c>
      <c r="G154" s="144" t="s">
        <v>320</v>
      </c>
      <c r="H154" s="144"/>
      <c r="I154" s="144">
        <v>35</v>
      </c>
      <c r="J154" s="144"/>
      <c r="K154" s="144"/>
      <c r="L154" s="144">
        <f>SUM(Tabla1[[#This Row],[Desayuno C$ 25]:[Transporte]])</f>
        <v>35</v>
      </c>
    </row>
    <row r="155" spans="1:12" x14ac:dyDescent="0.25">
      <c r="A155" s="144">
        <v>203593</v>
      </c>
      <c r="B155" s="144" t="str">
        <f>+IFERROR(VLOOKUP(A155,Tabla2[#Data],2,0),"")</f>
        <v>LUIS FELIPE ALVARADO MONTES</v>
      </c>
      <c r="C155" s="144" t="str">
        <f>+IFERROR(VLOOKUP(A155,Tabla2[#Data],3,0),"")</f>
        <v>Operador de Cabezal I</v>
      </c>
      <c r="D155" s="144">
        <v>153</v>
      </c>
      <c r="E155" s="144">
        <v>43863</v>
      </c>
      <c r="F155" s="144" t="str">
        <f>+IFERROR(VLOOKUP(WEEKDAY(E155),Catalogo!$F$1:$G$7,2,0),"")</f>
        <v>DOMINGO</v>
      </c>
      <c r="G155" s="144" t="s">
        <v>320</v>
      </c>
      <c r="H155" s="144"/>
      <c r="I155" s="144">
        <v>35</v>
      </c>
      <c r="J155" s="144"/>
      <c r="K155" s="144"/>
      <c r="L155" s="144">
        <f>SUM(Tabla1[[#This Row],[Desayuno C$ 25]:[Transporte]])</f>
        <v>35</v>
      </c>
    </row>
    <row r="156" spans="1:12" x14ac:dyDescent="0.25">
      <c r="A156" s="144">
        <v>211419</v>
      </c>
      <c r="B156" s="144" t="str">
        <f>+IFERROR(VLOOKUP(A156,Tabla2[#Data],2,0),"")</f>
        <v>ALFREDO CESAR VALLADAREZ AGUILERA</v>
      </c>
      <c r="C156" s="144" t="str">
        <f>+IFERROR(VLOOKUP(A156,Tabla2[#Data],3,0),"")</f>
        <v>Auxiliar de patio de caña</v>
      </c>
      <c r="D156" s="144">
        <v>154</v>
      </c>
      <c r="E156" s="144">
        <v>43864</v>
      </c>
      <c r="F156" s="144" t="str">
        <f>+IFERROR(VLOOKUP(WEEKDAY(E156),Catalogo!$F$1:$G$7,2,0),"")</f>
        <v>LUNES</v>
      </c>
      <c r="G156" s="144" t="s">
        <v>215</v>
      </c>
      <c r="H156" s="144"/>
      <c r="I156" s="144">
        <v>35</v>
      </c>
      <c r="J156" s="144"/>
      <c r="K156" s="144"/>
      <c r="L156" s="144">
        <f>SUM(Tabla1[[#This Row],[Desayuno C$ 25]:[Transporte]])</f>
        <v>35</v>
      </c>
    </row>
    <row r="157" spans="1:12" x14ac:dyDescent="0.25">
      <c r="A157" s="144">
        <v>203428</v>
      </c>
      <c r="B157" s="144" t="str">
        <f>+IFERROR(VLOOKUP(A157,Tabla2[#Data],2,0),"")</f>
        <v>FERNANDO JOSE AYALA RIOS</v>
      </c>
      <c r="C157" s="144" t="str">
        <f>+IFERROR(VLOOKUP(A157,Tabla2[#Data],3,0),"")</f>
        <v>Ayudante II M</v>
      </c>
      <c r="D157" s="144">
        <v>155</v>
      </c>
      <c r="E157" s="144">
        <v>43864</v>
      </c>
      <c r="F157" s="144" t="str">
        <f>+IFERROR(VLOOKUP(WEEKDAY(E157),Catalogo!$F$1:$G$7,2,0),"")</f>
        <v>LUNES</v>
      </c>
      <c r="G157" s="144" t="s">
        <v>320</v>
      </c>
      <c r="H157" s="144"/>
      <c r="I157" s="144">
        <v>35</v>
      </c>
      <c r="J157" s="144"/>
      <c r="K157" s="144"/>
      <c r="L157" s="144">
        <f>SUM(Tabla1[[#This Row],[Desayuno C$ 25]:[Transporte]])</f>
        <v>35</v>
      </c>
    </row>
    <row r="158" spans="1:12" x14ac:dyDescent="0.25">
      <c r="A158" s="144">
        <v>209398</v>
      </c>
      <c r="B158" s="144" t="str">
        <f>+IFERROR(VLOOKUP(A158,Tabla2[#Data],2,0),"")</f>
        <v>KELVIN ENELSON MARADIAGA HERNANDEZ</v>
      </c>
      <c r="C158" s="144" t="str">
        <f>+IFERROR(VLOOKUP(A158,Tabla2[#Data],3,0),"")</f>
        <v>Ayudante II M</v>
      </c>
      <c r="D158" s="144">
        <v>156</v>
      </c>
      <c r="E158" s="144">
        <v>43864</v>
      </c>
      <c r="F158" s="144" t="str">
        <f>+IFERROR(VLOOKUP(WEEKDAY(E158),Catalogo!$F$1:$G$7,2,0),"")</f>
        <v>LUNES</v>
      </c>
      <c r="G158" s="144" t="s">
        <v>320</v>
      </c>
      <c r="H158" s="144"/>
      <c r="I158" s="144">
        <v>35</v>
      </c>
      <c r="J158" s="144"/>
      <c r="K158" s="144"/>
      <c r="L158" s="144">
        <f>SUM(Tabla1[[#This Row],[Desayuno C$ 25]:[Transporte]])</f>
        <v>35</v>
      </c>
    </row>
    <row r="159" spans="1:12" x14ac:dyDescent="0.25">
      <c r="A159" s="144">
        <v>204119</v>
      </c>
      <c r="B159" s="144" t="str">
        <f>+IFERROR(VLOOKUP(A159,Tabla2[#Data],2,0),"")</f>
        <v>ARMANDO JOSE CACERES PALMA</v>
      </c>
      <c r="C159" s="144" t="str">
        <f>+IFERROR(VLOOKUP(A159,Tabla2[#Data],3,0),"")</f>
        <v>Operador de Cabezal I</v>
      </c>
      <c r="D159" s="144">
        <v>157</v>
      </c>
      <c r="E159" s="144">
        <v>43864</v>
      </c>
      <c r="F159" s="144" t="str">
        <f>+IFERROR(VLOOKUP(WEEKDAY(E159),Catalogo!$F$1:$G$7,2,0),"")</f>
        <v>LUNES</v>
      </c>
      <c r="G159" s="144" t="s">
        <v>219</v>
      </c>
      <c r="H159" s="144"/>
      <c r="I159" s="144">
        <v>65</v>
      </c>
      <c r="J159" s="144"/>
      <c r="K159" s="144"/>
      <c r="L159" s="144">
        <f>SUM(Tabla1[[#This Row],[Desayuno C$ 25]:[Transporte]])</f>
        <v>65</v>
      </c>
    </row>
    <row r="160" spans="1:12" x14ac:dyDescent="0.25">
      <c r="A160" s="144">
        <v>213008</v>
      </c>
      <c r="B160" s="144" t="str">
        <f>+IFERROR(VLOOKUP(A160,Tabla2[#Data],2,0),"")</f>
        <v>AVENEGO MARTIN NAVARRO ROJAS</v>
      </c>
      <c r="C160" s="144" t="str">
        <f>+IFERROR(VLOOKUP(A160,Tabla2[#Data],3,0),"")</f>
        <v>Operador de Cabezal I</v>
      </c>
      <c r="D160" s="144">
        <v>158</v>
      </c>
      <c r="E160" s="144">
        <v>43864</v>
      </c>
      <c r="F160" s="144" t="str">
        <f>+IFERROR(VLOOKUP(WEEKDAY(E160),Catalogo!$F$1:$G$7,2,0),"")</f>
        <v>LUNES</v>
      </c>
      <c r="G160" s="144" t="s">
        <v>288</v>
      </c>
      <c r="H160" s="144"/>
      <c r="I160" s="144">
        <v>35</v>
      </c>
      <c r="J160" s="144"/>
      <c r="K160" s="144"/>
      <c r="L160" s="144">
        <f>SUM(Tabla1[[#This Row],[Desayuno C$ 25]:[Transporte]])</f>
        <v>35</v>
      </c>
    </row>
    <row r="161" spans="1:12" x14ac:dyDescent="0.25">
      <c r="A161" s="144">
        <v>202191</v>
      </c>
      <c r="B161" s="144" t="str">
        <f>+IFERROR(VLOOKUP(A161,Tabla2[#Data],2,0),"")</f>
        <v>FRANCISCO JAVIER ROMERO M.</v>
      </c>
      <c r="C161" s="144" t="str">
        <f>+IFERROR(VLOOKUP(A161,Tabla2[#Data],3,0),"")</f>
        <v>Operador de Cabezal I</v>
      </c>
      <c r="D161" s="144">
        <v>159</v>
      </c>
      <c r="E161" s="144">
        <v>43864</v>
      </c>
      <c r="F161" s="144" t="str">
        <f>+IFERROR(VLOOKUP(WEEKDAY(E161),Catalogo!$F$1:$G$7,2,0),"")</f>
        <v>LUNES</v>
      </c>
      <c r="G161" s="144" t="s">
        <v>288</v>
      </c>
      <c r="H161" s="144"/>
      <c r="I161" s="144">
        <v>35</v>
      </c>
      <c r="J161" s="144"/>
      <c r="K161" s="144"/>
      <c r="L161" s="144">
        <f>SUM(Tabla1[[#This Row],[Desayuno C$ 25]:[Transporte]])</f>
        <v>35</v>
      </c>
    </row>
    <row r="162" spans="1:12" x14ac:dyDescent="0.25">
      <c r="A162" s="144">
        <v>212407</v>
      </c>
      <c r="B162" s="144" t="str">
        <f>+IFERROR(VLOOKUP(A162,Tabla2[#Data],2,0),"")</f>
        <v>LEONEL ANTONIO SANTOS MARTINEZ</v>
      </c>
      <c r="C162" s="144" t="str">
        <f>+IFERROR(VLOOKUP(A162,Tabla2[#Data],3,0),"")</f>
        <v>Operador de Cabezal I</v>
      </c>
      <c r="D162" s="144">
        <v>160</v>
      </c>
      <c r="E162" s="144">
        <v>43864</v>
      </c>
      <c r="F162" s="144" t="str">
        <f>+IFERROR(VLOOKUP(WEEKDAY(E162),Catalogo!$F$1:$G$7,2,0),"")</f>
        <v>LUNES</v>
      </c>
      <c r="G162" s="144" t="s">
        <v>320</v>
      </c>
      <c r="H162" s="144"/>
      <c r="I162" s="144">
        <v>35</v>
      </c>
      <c r="J162" s="144"/>
      <c r="K162" s="144"/>
      <c r="L162" s="144">
        <f>SUM(Tabla1[[#This Row],[Desayuno C$ 25]:[Transporte]])</f>
        <v>35</v>
      </c>
    </row>
    <row r="163" spans="1:12" x14ac:dyDescent="0.25">
      <c r="A163" s="144">
        <v>206970</v>
      </c>
      <c r="B163" s="144" t="str">
        <f>+IFERROR(VLOOKUP(A163,Tabla2[#Data],2,0),"")</f>
        <v>BAYARDO ANTONIO FLORES REYES</v>
      </c>
      <c r="C163" s="144" t="str">
        <f>+IFERROR(VLOOKUP(A163,Tabla2[#Data],3,0),"")</f>
        <v>Operador de Maquinaria Pesada II</v>
      </c>
      <c r="D163" s="144">
        <v>161</v>
      </c>
      <c r="E163" s="144">
        <v>43864</v>
      </c>
      <c r="F163" s="144" t="str">
        <f>+IFERROR(VLOOKUP(WEEKDAY(E163),Catalogo!$F$1:$G$7,2,0),"")</f>
        <v>LUNES</v>
      </c>
      <c r="G163" s="144" t="s">
        <v>320</v>
      </c>
      <c r="H163" s="144"/>
      <c r="I163" s="144">
        <v>35</v>
      </c>
      <c r="J163" s="144"/>
      <c r="K163" s="144"/>
      <c r="L163" s="144">
        <f>SUM(Tabla1[[#This Row],[Desayuno C$ 25]:[Transporte]])</f>
        <v>35</v>
      </c>
    </row>
    <row r="164" spans="1:12" x14ac:dyDescent="0.25">
      <c r="A164" s="144">
        <v>204854</v>
      </c>
      <c r="B164" s="144" t="str">
        <f>+IFERROR(VLOOKUP(A164,Tabla2[#Data],2,0),"")</f>
        <v>BENITO NUÑEZ VIDAURRE</v>
      </c>
      <c r="C164" s="144" t="str">
        <f>+IFERROR(VLOOKUP(A164,Tabla2[#Data],3,0),"")</f>
        <v>Operador de Maquinaria Pesada I</v>
      </c>
      <c r="D164" s="144">
        <v>162</v>
      </c>
      <c r="E164" s="144">
        <v>43864</v>
      </c>
      <c r="F164" s="144" t="str">
        <f>+IFERROR(VLOOKUP(WEEKDAY(E164),Catalogo!$F$1:$G$7,2,0),"")</f>
        <v>LUNES</v>
      </c>
      <c r="G164" s="144" t="s">
        <v>320</v>
      </c>
      <c r="H164" s="144"/>
      <c r="I164" s="144">
        <v>35</v>
      </c>
      <c r="J164" s="144"/>
      <c r="K164" s="144"/>
      <c r="L164" s="144">
        <f>SUM(Tabla1[[#This Row],[Desayuno C$ 25]:[Transporte]])</f>
        <v>35</v>
      </c>
    </row>
    <row r="165" spans="1:12" x14ac:dyDescent="0.25">
      <c r="A165" s="144">
        <v>208243</v>
      </c>
      <c r="B165" s="144" t="str">
        <f>+IFERROR(VLOOKUP(A165,Tabla2[#Data],2,0),"")</f>
        <v>CARLOS JOSE REYES AVENDAÑO</v>
      </c>
      <c r="C165" s="144" t="str">
        <f>+IFERROR(VLOOKUP(A165,Tabla2[#Data],3,0),"")</f>
        <v>Operador de Maquinaria Pesada I</v>
      </c>
      <c r="D165" s="144">
        <v>163</v>
      </c>
      <c r="E165" s="144">
        <v>43864</v>
      </c>
      <c r="F165" s="144" t="str">
        <f>+IFERROR(VLOOKUP(WEEKDAY(E165),Catalogo!$F$1:$G$7,2,0),"")</f>
        <v>LUNES</v>
      </c>
      <c r="G165" s="144" t="s">
        <v>320</v>
      </c>
      <c r="H165" s="144"/>
      <c r="I165" s="144">
        <v>35</v>
      </c>
      <c r="J165" s="144"/>
      <c r="K165" s="144"/>
      <c r="L165" s="144">
        <f>SUM(Tabla1[[#This Row],[Desayuno C$ 25]:[Transporte]])</f>
        <v>35</v>
      </c>
    </row>
    <row r="166" spans="1:12" x14ac:dyDescent="0.25">
      <c r="A166" s="144">
        <v>206988</v>
      </c>
      <c r="B166" s="144" t="str">
        <f>+IFERROR(VLOOKUP(A166,Tabla2[#Data],2,0),"")</f>
        <v>EVERT FRANCISCO RAYO PINEDA</v>
      </c>
      <c r="C166" s="144" t="str">
        <f>+IFERROR(VLOOKUP(A166,Tabla2[#Data],3,0),"")</f>
        <v>Operador de Maquinaria Pesada I</v>
      </c>
      <c r="D166" s="144">
        <v>164</v>
      </c>
      <c r="E166" s="144">
        <v>43864</v>
      </c>
      <c r="F166" s="144" t="str">
        <f>+IFERROR(VLOOKUP(WEEKDAY(E166),Catalogo!$F$1:$G$7,2,0),"")</f>
        <v>LUNES</v>
      </c>
      <c r="G166" s="144" t="s">
        <v>320</v>
      </c>
      <c r="H166" s="144"/>
      <c r="I166" s="144">
        <v>35</v>
      </c>
      <c r="J166" s="144"/>
      <c r="K166" s="144"/>
      <c r="L166" s="144">
        <f>SUM(Tabla1[[#This Row],[Desayuno C$ 25]:[Transporte]])</f>
        <v>35</v>
      </c>
    </row>
    <row r="167" spans="1:12" x14ac:dyDescent="0.25">
      <c r="A167" s="144">
        <v>213380</v>
      </c>
      <c r="B167" s="144" t="str">
        <f>+IFERROR(VLOOKUP(A167,Tabla2[#Data],2,0),"")</f>
        <v>GERARDO JOSE MEZA</v>
      </c>
      <c r="C167" s="144" t="str">
        <f>+IFERROR(VLOOKUP(A167,Tabla2[#Data],3,0),"")</f>
        <v>Operador de Maquinaria Pesada I</v>
      </c>
      <c r="D167" s="144">
        <v>165</v>
      </c>
      <c r="E167" s="144">
        <v>43864</v>
      </c>
      <c r="F167" s="144" t="str">
        <f>+IFERROR(VLOOKUP(WEEKDAY(E167),Catalogo!$F$1:$G$7,2,0),"")</f>
        <v>LUNES</v>
      </c>
      <c r="G167" s="144" t="s">
        <v>320</v>
      </c>
      <c r="H167" s="144"/>
      <c r="I167" s="144">
        <v>35</v>
      </c>
      <c r="J167" s="144"/>
      <c r="K167" s="144"/>
      <c r="L167" s="144">
        <f>SUM(Tabla1[[#This Row],[Desayuno C$ 25]:[Transporte]])</f>
        <v>35</v>
      </c>
    </row>
    <row r="168" spans="1:12" x14ac:dyDescent="0.25">
      <c r="A168" s="144">
        <v>202121</v>
      </c>
      <c r="B168" s="144" t="str">
        <f>+IFERROR(VLOOKUP(A168,Tabla2[#Data],2,0),"")</f>
        <v>LUIS DE JESUS TORREZ TORREZ</v>
      </c>
      <c r="C168" s="144" t="str">
        <f>+IFERROR(VLOOKUP(A168,Tabla2[#Data],3,0),"")</f>
        <v>Operador de Maquinaria Pesada II</v>
      </c>
      <c r="D168" s="144">
        <v>166</v>
      </c>
      <c r="E168" s="144">
        <v>43864</v>
      </c>
      <c r="F168" s="144" t="str">
        <f>+IFERROR(VLOOKUP(WEEKDAY(E168),Catalogo!$F$1:$G$7,2,0),"")</f>
        <v>LUNES</v>
      </c>
      <c r="G168" s="144" t="s">
        <v>288</v>
      </c>
      <c r="H168" s="144"/>
      <c r="I168" s="144">
        <v>35</v>
      </c>
      <c r="J168" s="144"/>
      <c r="K168" s="144"/>
      <c r="L168" s="144">
        <f>SUM(Tabla1[[#This Row],[Desayuno C$ 25]:[Transporte]])</f>
        <v>35</v>
      </c>
    </row>
    <row r="169" spans="1:12" x14ac:dyDescent="0.25">
      <c r="A169" s="144">
        <v>210471</v>
      </c>
      <c r="B169" s="144" t="str">
        <f>+IFERROR(VLOOKUP(A169,Tabla2[#Data],2,0),"")</f>
        <v>REYNALDO JOSE RIVERA MARTINEZ</v>
      </c>
      <c r="C169" s="144" t="str">
        <f>+IFERROR(VLOOKUP(A169,Tabla2[#Data],3,0),"")</f>
        <v>Operador de Maquinaria Pesada III</v>
      </c>
      <c r="D169" s="144">
        <v>167</v>
      </c>
      <c r="E169" s="144">
        <v>43864</v>
      </c>
      <c r="F169" s="144" t="str">
        <f>+IFERROR(VLOOKUP(WEEKDAY(E169),Catalogo!$F$1:$G$7,2,0),"")</f>
        <v>LUNES</v>
      </c>
      <c r="G169" s="144" t="s">
        <v>320</v>
      </c>
      <c r="H169" s="144"/>
      <c r="I169" s="144">
        <v>35</v>
      </c>
      <c r="J169" s="144"/>
      <c r="K169" s="144"/>
      <c r="L169" s="144">
        <f>SUM(Tabla1[[#This Row],[Desayuno C$ 25]:[Transporte]])</f>
        <v>35</v>
      </c>
    </row>
    <row r="170" spans="1:12" x14ac:dyDescent="0.25">
      <c r="A170" s="144">
        <v>204112</v>
      </c>
      <c r="B170" s="144" t="str">
        <f>+IFERROR(VLOOKUP(A170,Tabla2[#Data],2,0),"")</f>
        <v>VICENTE DE JESUS ROMERO LANZAS</v>
      </c>
      <c r="C170" s="144" t="str">
        <f>+IFERROR(VLOOKUP(A170,Tabla2[#Data],3,0),"")</f>
        <v>Operador de Maquinaria Pesada II</v>
      </c>
      <c r="D170" s="144">
        <v>168</v>
      </c>
      <c r="E170" s="144">
        <v>43864</v>
      </c>
      <c r="F170" s="144" t="str">
        <f>+IFERROR(VLOOKUP(WEEKDAY(E170),Catalogo!$F$1:$G$7,2,0),"")</f>
        <v>LUNES</v>
      </c>
      <c r="G170" s="144" t="s">
        <v>320</v>
      </c>
      <c r="H170" s="144"/>
      <c r="I170" s="144">
        <v>35</v>
      </c>
      <c r="J170" s="144"/>
      <c r="K170" s="144"/>
      <c r="L170" s="144">
        <f>SUM(Tabla1[[#This Row],[Desayuno C$ 25]:[Transporte]])</f>
        <v>35</v>
      </c>
    </row>
    <row r="171" spans="1:12" x14ac:dyDescent="0.25">
      <c r="A171" s="144">
        <v>208362</v>
      </c>
      <c r="B171" s="144" t="str">
        <f>+IFERROR(VLOOKUP(A171,Tabla2[#Data],2,0),"")</f>
        <v>PABLO JUSTINO REAL NUÑEZ</v>
      </c>
      <c r="C171" s="144" t="str">
        <f>+IFERROR(VLOOKUP(A171,Tabla2[#Data],3,0),"")</f>
        <v>Operador de Maquinaria Pesada II</v>
      </c>
      <c r="D171" s="144">
        <v>169</v>
      </c>
      <c r="E171" s="144">
        <v>43864</v>
      </c>
      <c r="F171" s="144" t="str">
        <f>+IFERROR(VLOOKUP(WEEKDAY(E171),Catalogo!$F$1:$G$7,2,0),"")</f>
        <v>LUNES</v>
      </c>
      <c r="G171" s="144" t="s">
        <v>320</v>
      </c>
      <c r="H171" s="144"/>
      <c r="I171" s="144">
        <v>35</v>
      </c>
      <c r="J171" s="144"/>
      <c r="K171" s="144"/>
      <c r="L171" s="144">
        <f>SUM(Tabla1[[#This Row],[Desayuno C$ 25]:[Transporte]])</f>
        <v>35</v>
      </c>
    </row>
    <row r="172" spans="1:12" x14ac:dyDescent="0.25">
      <c r="A172" s="144">
        <v>203593</v>
      </c>
      <c r="B172" s="144" t="str">
        <f>+IFERROR(VLOOKUP(A172,Tabla2[#Data],2,0),"")</f>
        <v>LUIS FELIPE ALVARADO MONTES</v>
      </c>
      <c r="C172" s="144" t="str">
        <f>+IFERROR(VLOOKUP(A172,Tabla2[#Data],3,0),"")</f>
        <v>Operador de Cabezal I</v>
      </c>
      <c r="D172" s="144">
        <v>170</v>
      </c>
      <c r="E172" s="144">
        <v>43864</v>
      </c>
      <c r="F172" s="144" t="str">
        <f>+IFERROR(VLOOKUP(WEEKDAY(E172),Catalogo!$F$1:$G$7,2,0),"")</f>
        <v>LUNES</v>
      </c>
      <c r="G172" s="144" t="s">
        <v>320</v>
      </c>
      <c r="H172" s="144"/>
      <c r="I172" s="144">
        <v>35</v>
      </c>
      <c r="J172" s="144"/>
      <c r="K172" s="144"/>
      <c r="L172" s="144">
        <f>SUM(Tabla1[[#This Row],[Desayuno C$ 25]:[Transporte]])</f>
        <v>35</v>
      </c>
    </row>
    <row r="173" spans="1:12" x14ac:dyDescent="0.25">
      <c r="A173" s="144">
        <v>211419</v>
      </c>
      <c r="B173" s="144" t="str">
        <f>+IFERROR(VLOOKUP(A173,Tabla2[#Data],2,0),"")</f>
        <v>ALFREDO CESAR VALLADAREZ AGUILERA</v>
      </c>
      <c r="C173" s="144" t="str">
        <f>+IFERROR(VLOOKUP(A173,Tabla2[#Data],3,0),"")</f>
        <v>Auxiliar de patio de caña</v>
      </c>
      <c r="D173" s="144">
        <v>171</v>
      </c>
      <c r="E173" s="144">
        <v>43865</v>
      </c>
      <c r="F173" s="144" t="str">
        <f>+IFERROR(VLOOKUP(WEEKDAY(E173),Catalogo!$F$1:$G$7,2,0),"")</f>
        <v>MARTES</v>
      </c>
      <c r="G173" s="144" t="s">
        <v>215</v>
      </c>
      <c r="H173" s="144"/>
      <c r="I173" s="144">
        <v>35</v>
      </c>
      <c r="J173" s="144"/>
      <c r="K173" s="144"/>
      <c r="L173" s="144">
        <f>SUM(Tabla1[[#This Row],[Desayuno C$ 25]:[Transporte]])</f>
        <v>35</v>
      </c>
    </row>
    <row r="174" spans="1:12" x14ac:dyDescent="0.25">
      <c r="A174" s="144">
        <v>211475</v>
      </c>
      <c r="B174" s="144" t="str">
        <f>+IFERROR(VLOOKUP(A174,Tabla2[#Data],2,0),"")</f>
        <v>FREDDYS JOSUE AGUILERA ANDRADE</v>
      </c>
      <c r="C174" s="144" t="str">
        <f>+IFERROR(VLOOKUP(A174,Tabla2[#Data],3,0),"")</f>
        <v>Auxiliar de Patio de Caña</v>
      </c>
      <c r="D174" s="144">
        <v>172</v>
      </c>
      <c r="E174" s="144">
        <v>43865</v>
      </c>
      <c r="F174" s="144" t="str">
        <f>+IFERROR(VLOOKUP(WEEKDAY(E174),Catalogo!$F$1:$G$7,2,0),"")</f>
        <v>MARTES</v>
      </c>
      <c r="G174" s="144" t="s">
        <v>324</v>
      </c>
      <c r="H174" s="144"/>
      <c r="I174" s="144">
        <v>35</v>
      </c>
      <c r="J174" s="144"/>
      <c r="K174" s="144"/>
      <c r="L174" s="144">
        <f>SUM(Tabla1[[#This Row],[Desayuno C$ 25]:[Transporte]])</f>
        <v>35</v>
      </c>
    </row>
    <row r="175" spans="1:12" x14ac:dyDescent="0.25">
      <c r="A175" s="144">
        <v>210345</v>
      </c>
      <c r="B175" s="144" t="str">
        <f>+IFERROR(VLOOKUP(A175,Tabla2[#Data],2,0),"")</f>
        <v>ALEXANDER ALBERTO CAMPOS ESPINOZA</v>
      </c>
      <c r="C175" s="144" t="str">
        <f>+IFERROR(VLOOKUP(A175,Tabla2[#Data],3,0),"")</f>
        <v>Ayudante II M</v>
      </c>
      <c r="D175" s="144">
        <v>173</v>
      </c>
      <c r="E175" s="144">
        <v>43865</v>
      </c>
      <c r="F175" s="144" t="str">
        <f>+IFERROR(VLOOKUP(WEEKDAY(E175),Catalogo!$F$1:$G$7,2,0),"")</f>
        <v>MARTES</v>
      </c>
      <c r="G175" s="144" t="s">
        <v>324</v>
      </c>
      <c r="H175" s="144"/>
      <c r="I175" s="144">
        <v>35</v>
      </c>
      <c r="J175" s="144"/>
      <c r="K175" s="144"/>
      <c r="L175" s="144">
        <f>SUM(Tabla1[[#This Row],[Desayuno C$ 25]:[Transporte]])</f>
        <v>35</v>
      </c>
    </row>
    <row r="176" spans="1:12" x14ac:dyDescent="0.25">
      <c r="A176" s="144">
        <v>209398</v>
      </c>
      <c r="B176" s="144" t="str">
        <f>+IFERROR(VLOOKUP(A176,Tabla2[#Data],2,0),"")</f>
        <v>KELVIN ENELSON MARADIAGA HERNANDEZ</v>
      </c>
      <c r="C176" s="144" t="str">
        <f>+IFERROR(VLOOKUP(A176,Tabla2[#Data],3,0),"")</f>
        <v>Ayudante II M</v>
      </c>
      <c r="D176" s="144">
        <v>174</v>
      </c>
      <c r="E176" s="144">
        <v>43865</v>
      </c>
      <c r="F176" s="144" t="str">
        <f>+IFERROR(VLOOKUP(WEEKDAY(E176),Catalogo!$F$1:$G$7,2,0),"")</f>
        <v>MARTES</v>
      </c>
      <c r="G176" s="144" t="s">
        <v>320</v>
      </c>
      <c r="H176" s="144"/>
      <c r="I176" s="144">
        <v>35</v>
      </c>
      <c r="J176" s="144"/>
      <c r="K176" s="144"/>
      <c r="L176" s="144">
        <f>SUM(Tabla1[[#This Row],[Desayuno C$ 25]:[Transporte]])</f>
        <v>35</v>
      </c>
    </row>
    <row r="177" spans="1:12" x14ac:dyDescent="0.25">
      <c r="A177" s="144">
        <v>213008</v>
      </c>
      <c r="B177" s="144" t="str">
        <f>+IFERROR(VLOOKUP(A177,Tabla2[#Data],2,0),"")</f>
        <v>AVENEGO MARTIN NAVARRO ROJAS</v>
      </c>
      <c r="C177" s="144" t="str">
        <f>+IFERROR(VLOOKUP(A177,Tabla2[#Data],3,0),"")</f>
        <v>Operador de Cabezal I</v>
      </c>
      <c r="D177" s="144">
        <v>175</v>
      </c>
      <c r="E177" s="144">
        <v>43865</v>
      </c>
      <c r="F177" s="144" t="str">
        <f>+IFERROR(VLOOKUP(WEEKDAY(E177),Catalogo!$F$1:$G$7,2,0),"")</f>
        <v>MARTES</v>
      </c>
      <c r="G177" s="144" t="s">
        <v>219</v>
      </c>
      <c r="H177" s="144"/>
      <c r="I177" s="144">
        <v>65</v>
      </c>
      <c r="J177" s="144"/>
      <c r="K177" s="144"/>
      <c r="L177" s="144">
        <f>SUM(Tabla1[[#This Row],[Desayuno C$ 25]:[Transporte]])</f>
        <v>65</v>
      </c>
    </row>
    <row r="178" spans="1:12" x14ac:dyDescent="0.25">
      <c r="A178" s="144">
        <v>204136</v>
      </c>
      <c r="B178" s="144" t="str">
        <f>+IFERROR(VLOOKUP(A178,Tabla2[#Data],2,0),"")</f>
        <v>EDWIN JAVIER ZARATE</v>
      </c>
      <c r="C178" s="144" t="str">
        <f>+IFERROR(VLOOKUP(A178,Tabla2[#Data],3,0),"")</f>
        <v>Operador de Cabezal I</v>
      </c>
      <c r="D178" s="144">
        <v>176</v>
      </c>
      <c r="E178" s="144">
        <v>43865</v>
      </c>
      <c r="F178" s="144" t="str">
        <f>+IFERROR(VLOOKUP(WEEKDAY(E178),Catalogo!$F$1:$G$7,2,0),"")</f>
        <v>MARTES</v>
      </c>
      <c r="G178" s="144" t="s">
        <v>324</v>
      </c>
      <c r="H178" s="144"/>
      <c r="I178" s="144">
        <v>35</v>
      </c>
      <c r="J178" s="144"/>
      <c r="K178" s="144"/>
      <c r="L178" s="144">
        <f>SUM(Tabla1[[#This Row],[Desayuno C$ 25]:[Transporte]])</f>
        <v>35</v>
      </c>
    </row>
    <row r="179" spans="1:12" x14ac:dyDescent="0.25">
      <c r="A179" s="144">
        <v>202191</v>
      </c>
      <c r="B179" s="144" t="str">
        <f>+IFERROR(VLOOKUP(A179,Tabla2[#Data],2,0),"")</f>
        <v>FRANCISCO JAVIER ROMERO M.</v>
      </c>
      <c r="C179" s="144" t="str">
        <f>+IFERROR(VLOOKUP(A179,Tabla2[#Data],3,0),"")</f>
        <v>Operador de Cabezal I</v>
      </c>
      <c r="D179" s="144">
        <v>177</v>
      </c>
      <c r="E179" s="144">
        <v>43865</v>
      </c>
      <c r="F179" s="144" t="str">
        <f>+IFERROR(VLOOKUP(WEEKDAY(E179),Catalogo!$F$1:$G$7,2,0),"")</f>
        <v>MARTES</v>
      </c>
      <c r="G179" s="144" t="s">
        <v>219</v>
      </c>
      <c r="H179" s="144"/>
      <c r="I179" s="144">
        <v>65</v>
      </c>
      <c r="J179" s="144"/>
      <c r="K179" s="144"/>
      <c r="L179" s="144">
        <f>SUM(Tabla1[[#This Row],[Desayuno C$ 25]:[Transporte]])</f>
        <v>65</v>
      </c>
    </row>
    <row r="180" spans="1:12" x14ac:dyDescent="0.25">
      <c r="A180" s="144">
        <v>212314</v>
      </c>
      <c r="B180" s="144" t="str">
        <f>+IFERROR(VLOOKUP(A180,Tabla2[#Data],2,0),"")</f>
        <v>JUAN ANIBAL CARDOZA OVIEDO</v>
      </c>
      <c r="C180" s="144" t="str">
        <f>+IFERROR(VLOOKUP(A180,Tabla2[#Data],3,0),"")</f>
        <v>Operador de Cabezal I</v>
      </c>
      <c r="D180" s="144">
        <v>178</v>
      </c>
      <c r="E180" s="144">
        <v>43865</v>
      </c>
      <c r="F180" s="144" t="str">
        <f>+IFERROR(VLOOKUP(WEEKDAY(E180),Catalogo!$F$1:$G$7,2,0),"")</f>
        <v>MARTES</v>
      </c>
      <c r="G180" s="144" t="s">
        <v>219</v>
      </c>
      <c r="H180" s="144"/>
      <c r="I180" s="144">
        <v>65</v>
      </c>
      <c r="J180" s="144"/>
      <c r="K180" s="144"/>
      <c r="L180" s="144">
        <f>SUM(Tabla1[[#This Row],[Desayuno C$ 25]:[Transporte]])</f>
        <v>65</v>
      </c>
    </row>
    <row r="181" spans="1:12" x14ac:dyDescent="0.25">
      <c r="A181" s="144">
        <v>209730</v>
      </c>
      <c r="B181" s="144" t="str">
        <f>+IFERROR(VLOOKUP(A181,Tabla2[#Data],2,0),"")</f>
        <v>JULIO CESAR PADILLA GRANADO</v>
      </c>
      <c r="C181" s="144" t="str">
        <f>+IFERROR(VLOOKUP(A181,Tabla2[#Data],3,0),"")</f>
        <v>Operador de Cabezal I</v>
      </c>
      <c r="D181" s="144">
        <v>179</v>
      </c>
      <c r="E181" s="144">
        <v>43865</v>
      </c>
      <c r="F181" s="144" t="str">
        <f>+IFERROR(VLOOKUP(WEEKDAY(E181),Catalogo!$F$1:$G$7,2,0),"")</f>
        <v>MARTES</v>
      </c>
      <c r="G181" s="144" t="s">
        <v>321</v>
      </c>
      <c r="H181" s="144"/>
      <c r="I181" s="144">
        <v>35</v>
      </c>
      <c r="J181" s="144"/>
      <c r="K181" s="144"/>
      <c r="L181" s="144">
        <f>SUM(Tabla1[[#This Row],[Desayuno C$ 25]:[Transporte]])</f>
        <v>35</v>
      </c>
    </row>
    <row r="182" spans="1:12" x14ac:dyDescent="0.25">
      <c r="A182" s="144">
        <v>213002</v>
      </c>
      <c r="B182" s="144" t="str">
        <f>+IFERROR(VLOOKUP(A182,Tabla2[#Data],2,0),"")</f>
        <v>WILBERTH JACOBO SOMARRIBA ESPINOZA</v>
      </c>
      <c r="C182" s="144" t="str">
        <f>+IFERROR(VLOOKUP(A182,Tabla2[#Data],3,0),"")</f>
        <v>Operador de Cabezal I</v>
      </c>
      <c r="D182" s="144">
        <v>180</v>
      </c>
      <c r="E182" s="144">
        <v>43865</v>
      </c>
      <c r="F182" s="144" t="str">
        <f>+IFERROR(VLOOKUP(WEEKDAY(E182),Catalogo!$F$1:$G$7,2,0),"")</f>
        <v>MARTES</v>
      </c>
      <c r="G182" s="144" t="s">
        <v>219</v>
      </c>
      <c r="H182" s="144"/>
      <c r="I182" s="144">
        <v>65</v>
      </c>
      <c r="J182" s="144"/>
      <c r="K182" s="144"/>
      <c r="L182" s="144">
        <f>SUM(Tabla1[[#This Row],[Desayuno C$ 25]:[Transporte]])</f>
        <v>65</v>
      </c>
    </row>
    <row r="183" spans="1:12" x14ac:dyDescent="0.25">
      <c r="A183" s="144">
        <v>203469</v>
      </c>
      <c r="B183" s="144" t="str">
        <f>+IFERROR(VLOOKUP(A183,Tabla2[#Data],2,0),"")</f>
        <v>JORGE ISAAC ULLOA</v>
      </c>
      <c r="C183" s="144" t="str">
        <f>+IFERROR(VLOOKUP(A183,Tabla2[#Data],3,0),"")</f>
        <v>Operador de Cabezal I</v>
      </c>
      <c r="D183" s="144">
        <v>181</v>
      </c>
      <c r="E183" s="144">
        <v>43865</v>
      </c>
      <c r="F183" s="144" t="str">
        <f>+IFERROR(VLOOKUP(WEEKDAY(E183),Catalogo!$F$1:$G$7,2,0),"")</f>
        <v>MARTES</v>
      </c>
      <c r="G183" s="144" t="s">
        <v>320</v>
      </c>
      <c r="H183" s="144"/>
      <c r="I183" s="144">
        <v>35</v>
      </c>
      <c r="J183" s="144"/>
      <c r="K183" s="144"/>
      <c r="L183" s="144">
        <f>SUM(Tabla1[[#This Row],[Desayuno C$ 25]:[Transporte]])</f>
        <v>35</v>
      </c>
    </row>
    <row r="184" spans="1:12" x14ac:dyDescent="0.25">
      <c r="A184" s="144">
        <v>213353</v>
      </c>
      <c r="B184" s="144" t="str">
        <f>+IFERROR(VLOOKUP(A184,Tabla2[#Data],2,0),"")</f>
        <v>ELOY ANTONIO HERRERA</v>
      </c>
      <c r="C184" s="144" t="str">
        <f>+IFERROR(VLOOKUP(A184,Tabla2[#Data],3,0),"")</f>
        <v>Operador de Cabezal I</v>
      </c>
      <c r="D184" s="144">
        <v>182</v>
      </c>
      <c r="E184" s="144">
        <v>43865</v>
      </c>
      <c r="F184" s="144" t="str">
        <f>+IFERROR(VLOOKUP(WEEKDAY(E184),Catalogo!$F$1:$G$7,2,0),"")</f>
        <v>MARTES</v>
      </c>
      <c r="G184" s="144" t="s">
        <v>320</v>
      </c>
      <c r="H184" s="144"/>
      <c r="I184" s="144">
        <v>35</v>
      </c>
      <c r="J184" s="144"/>
      <c r="K184" s="144"/>
      <c r="L184" s="144">
        <f>SUM(Tabla1[[#This Row],[Desayuno C$ 25]:[Transporte]])</f>
        <v>35</v>
      </c>
    </row>
    <row r="185" spans="1:12" x14ac:dyDescent="0.25">
      <c r="A185" s="144">
        <v>204854</v>
      </c>
      <c r="B185" s="144" t="str">
        <f>+IFERROR(VLOOKUP(A185,Tabla2[#Data],2,0),"")</f>
        <v>BENITO NUÑEZ VIDAURRE</v>
      </c>
      <c r="C185" s="144" t="str">
        <f>+IFERROR(VLOOKUP(A185,Tabla2[#Data],3,0),"")</f>
        <v>Operador de Maquinaria Pesada I</v>
      </c>
      <c r="D185" s="144">
        <v>183</v>
      </c>
      <c r="E185" s="144">
        <v>43865</v>
      </c>
      <c r="F185" s="144" t="str">
        <f>+IFERROR(VLOOKUP(WEEKDAY(E185),Catalogo!$F$1:$G$7,2,0),"")</f>
        <v>MARTES</v>
      </c>
      <c r="G185" s="144" t="s">
        <v>320</v>
      </c>
      <c r="H185" s="144"/>
      <c r="I185" s="144">
        <v>35</v>
      </c>
      <c r="J185" s="144"/>
      <c r="K185" s="144"/>
      <c r="L185" s="144">
        <f>SUM(Tabla1[[#This Row],[Desayuno C$ 25]:[Transporte]])</f>
        <v>35</v>
      </c>
    </row>
    <row r="186" spans="1:12" x14ac:dyDescent="0.25">
      <c r="A186" s="144">
        <v>206988</v>
      </c>
      <c r="B186" s="144" t="str">
        <f>+IFERROR(VLOOKUP(A186,Tabla2[#Data],2,0),"")</f>
        <v>EVERT FRANCISCO RAYO PINEDA</v>
      </c>
      <c r="C186" s="144" t="str">
        <f>+IFERROR(VLOOKUP(A186,Tabla2[#Data],3,0),"")</f>
        <v>Operador de Maquinaria Pesada I</v>
      </c>
      <c r="D186" s="144">
        <v>184</v>
      </c>
      <c r="E186" s="144">
        <v>43865</v>
      </c>
      <c r="F186" s="144" t="str">
        <f>+IFERROR(VLOOKUP(WEEKDAY(E186),Catalogo!$F$1:$G$7,2,0),"")</f>
        <v>MARTES</v>
      </c>
      <c r="G186" s="144" t="s">
        <v>320</v>
      </c>
      <c r="H186" s="144"/>
      <c r="I186" s="144">
        <v>35</v>
      </c>
      <c r="J186" s="144"/>
      <c r="K186" s="144"/>
      <c r="L186" s="144">
        <f>SUM(Tabla1[[#This Row],[Desayuno C$ 25]:[Transporte]])</f>
        <v>35</v>
      </c>
    </row>
    <row r="187" spans="1:12" x14ac:dyDescent="0.25">
      <c r="A187" s="144">
        <v>204108</v>
      </c>
      <c r="B187" s="144" t="str">
        <f>+IFERROR(VLOOKUP(A187,Tabla2[#Data],2,0),"")</f>
        <v>FRANCISCO JAVIER CABALLERO CASTILLO</v>
      </c>
      <c r="C187" s="144" t="str">
        <f>+IFERROR(VLOOKUP(A187,Tabla2[#Data],3,0),"")</f>
        <v>Operador de Maquinaria Pesada I</v>
      </c>
      <c r="D187" s="144">
        <v>185</v>
      </c>
      <c r="E187" s="144">
        <v>43865</v>
      </c>
      <c r="F187" s="144" t="str">
        <f>+IFERROR(VLOOKUP(WEEKDAY(E187),Catalogo!$F$1:$G$7,2,0),"")</f>
        <v>MARTES</v>
      </c>
      <c r="G187" s="144" t="s">
        <v>325</v>
      </c>
      <c r="H187" s="144"/>
      <c r="I187" s="144">
        <v>65</v>
      </c>
      <c r="J187" s="144"/>
      <c r="K187" s="144"/>
      <c r="L187" s="144">
        <f>SUM(Tabla1[[#This Row],[Desayuno C$ 25]:[Transporte]])</f>
        <v>65</v>
      </c>
    </row>
    <row r="188" spans="1:12" x14ac:dyDescent="0.25">
      <c r="A188" s="144">
        <v>208966</v>
      </c>
      <c r="B188" s="144" t="str">
        <f>+IFERROR(VLOOKUP(A188,Tabla2[#Data],2,0),"")</f>
        <v>JUAN FRANCISCO ORDOÑEZ ESPINAL</v>
      </c>
      <c r="C188" s="144" t="str">
        <f>+IFERROR(VLOOKUP(A188,Tabla2[#Data],3,0),"")</f>
        <v>Operador de Maquinaria Pesada I</v>
      </c>
      <c r="D188" s="144">
        <v>186</v>
      </c>
      <c r="E188" s="144">
        <v>43865</v>
      </c>
      <c r="F188" s="144" t="str">
        <f>+IFERROR(VLOOKUP(WEEKDAY(E188),Catalogo!$F$1:$G$7,2,0),"")</f>
        <v>MARTES</v>
      </c>
      <c r="G188" s="144" t="s">
        <v>320</v>
      </c>
      <c r="H188" s="144"/>
      <c r="I188" s="144">
        <v>35</v>
      </c>
      <c r="J188" s="144"/>
      <c r="K188" s="144"/>
      <c r="L188" s="144">
        <f>SUM(Tabla1[[#This Row],[Desayuno C$ 25]:[Transporte]])</f>
        <v>35</v>
      </c>
    </row>
    <row r="189" spans="1:12" x14ac:dyDescent="0.25">
      <c r="A189" s="144">
        <v>202113</v>
      </c>
      <c r="B189" s="144" t="str">
        <f>+IFERROR(VLOOKUP(A189,Tabla2[#Data],2,0),"")</f>
        <v>LEONEL ISMAEL CORDOBA NARVAEZ</v>
      </c>
      <c r="C189" s="144" t="str">
        <f>+IFERROR(VLOOKUP(A189,Tabla2[#Data],3,0),"")</f>
        <v>Operador de Maquinaria Pesada III</v>
      </c>
      <c r="D189" s="144">
        <v>187</v>
      </c>
      <c r="E189" s="144">
        <v>43865</v>
      </c>
      <c r="F189" s="144" t="str">
        <f>+IFERROR(VLOOKUP(WEEKDAY(E189),Catalogo!$F$1:$G$7,2,0),"")</f>
        <v>MARTES</v>
      </c>
      <c r="G189" s="144" t="s">
        <v>324</v>
      </c>
      <c r="H189" s="144"/>
      <c r="I189" s="144">
        <v>35</v>
      </c>
      <c r="J189" s="144"/>
      <c r="K189" s="144"/>
      <c r="L189" s="144">
        <f>SUM(Tabla1[[#This Row],[Desayuno C$ 25]:[Transporte]])</f>
        <v>35</v>
      </c>
    </row>
    <row r="190" spans="1:12" x14ac:dyDescent="0.25">
      <c r="A190" s="144">
        <v>202121</v>
      </c>
      <c r="B190" s="144" t="str">
        <f>+IFERROR(VLOOKUP(A190,Tabla2[#Data],2,0),"")</f>
        <v>LUIS DE JESUS TORREZ TORREZ</v>
      </c>
      <c r="C190" s="144" t="str">
        <f>+IFERROR(VLOOKUP(A190,Tabla2[#Data],3,0),"")</f>
        <v>Operador de Maquinaria Pesada II</v>
      </c>
      <c r="D190" s="144">
        <v>188</v>
      </c>
      <c r="E190" s="144">
        <v>43865</v>
      </c>
      <c r="F190" s="144" t="str">
        <f>+IFERROR(VLOOKUP(WEEKDAY(E190),Catalogo!$F$1:$G$7,2,0),"")</f>
        <v>MARTES</v>
      </c>
      <c r="G190" s="144" t="s">
        <v>290</v>
      </c>
      <c r="H190" s="144"/>
      <c r="I190" s="144">
        <v>35</v>
      </c>
      <c r="J190" s="144"/>
      <c r="K190" s="144"/>
      <c r="L190" s="144">
        <f>SUM(Tabla1[[#This Row],[Desayuno C$ 25]:[Transporte]])</f>
        <v>35</v>
      </c>
    </row>
    <row r="191" spans="1:12" x14ac:dyDescent="0.25">
      <c r="A191" s="144">
        <v>210471</v>
      </c>
      <c r="B191" s="144" t="str">
        <f>+IFERROR(VLOOKUP(A191,Tabla2[#Data],2,0),"")</f>
        <v>REYNALDO JOSE RIVERA MARTINEZ</v>
      </c>
      <c r="C191" s="144" t="str">
        <f>+IFERROR(VLOOKUP(A191,Tabla2[#Data],3,0),"")</f>
        <v>Operador de Maquinaria Pesada III</v>
      </c>
      <c r="D191" s="144">
        <v>189</v>
      </c>
      <c r="E191" s="144">
        <v>43865</v>
      </c>
      <c r="F191" s="144" t="str">
        <f>+IFERROR(VLOOKUP(WEEKDAY(E191),Catalogo!$F$1:$G$7,2,0),"")</f>
        <v>MARTES</v>
      </c>
      <c r="G191" s="144" t="s">
        <v>320</v>
      </c>
      <c r="H191" s="144"/>
      <c r="I191" s="144">
        <v>35</v>
      </c>
      <c r="J191" s="144"/>
      <c r="K191" s="144"/>
      <c r="L191" s="144">
        <f>SUM(Tabla1[[#This Row],[Desayuno C$ 25]:[Transporte]])</f>
        <v>35</v>
      </c>
    </row>
    <row r="192" spans="1:12" x14ac:dyDescent="0.25">
      <c r="A192" s="144">
        <v>204112</v>
      </c>
      <c r="B192" s="144" t="str">
        <f>+IFERROR(VLOOKUP(A192,Tabla2[#Data],2,0),"")</f>
        <v>VICENTE DE JESUS ROMERO LANZAS</v>
      </c>
      <c r="C192" s="144" t="str">
        <f>+IFERROR(VLOOKUP(A192,Tabla2[#Data],3,0),"")</f>
        <v>Operador de Maquinaria Pesada II</v>
      </c>
      <c r="D192" s="144">
        <v>190</v>
      </c>
      <c r="E192" s="144">
        <v>43865</v>
      </c>
      <c r="F192" s="144" t="str">
        <f>+IFERROR(VLOOKUP(WEEKDAY(E192),Catalogo!$F$1:$G$7,2,0),"")</f>
        <v>MARTES</v>
      </c>
      <c r="G192" s="144" t="s">
        <v>320</v>
      </c>
      <c r="H192" s="144"/>
      <c r="I192" s="144">
        <v>35</v>
      </c>
      <c r="J192" s="144"/>
      <c r="K192" s="144"/>
      <c r="L192" s="144">
        <f>SUM(Tabla1[[#This Row],[Desayuno C$ 25]:[Transporte]])</f>
        <v>35</v>
      </c>
    </row>
    <row r="193" spans="1:12" x14ac:dyDescent="0.25">
      <c r="A193" s="144">
        <v>209780</v>
      </c>
      <c r="B193" s="144" t="str">
        <f>+IFERROR(VLOOKUP(A193,Tabla2[#Data],2,0),"")</f>
        <v>LUIS ADOLFO BARRERA AYALA</v>
      </c>
      <c r="C193" s="144" t="str">
        <f>+IFERROR(VLOOKUP(A193,Tabla2[#Data],3,0),"")</f>
        <v>Operador de Maquinaria Pesada III</v>
      </c>
      <c r="D193" s="144">
        <v>191</v>
      </c>
      <c r="E193" s="144">
        <v>43865</v>
      </c>
      <c r="F193" s="144" t="str">
        <f>+IFERROR(VLOOKUP(WEEKDAY(E193),Catalogo!$F$1:$G$7,2,0),"")</f>
        <v>MARTES</v>
      </c>
      <c r="G193" s="144" t="s">
        <v>320</v>
      </c>
      <c r="H193" s="144"/>
      <c r="I193" s="144">
        <v>35</v>
      </c>
      <c r="J193" s="144"/>
      <c r="K193" s="144"/>
      <c r="L193" s="144">
        <f>SUM(Tabla1[[#This Row],[Desayuno C$ 25]:[Transporte]])</f>
        <v>35</v>
      </c>
    </row>
    <row r="194" spans="1:12" x14ac:dyDescent="0.25">
      <c r="A194" s="144">
        <v>203428</v>
      </c>
      <c r="B194" s="144" t="str">
        <f>+IFERROR(VLOOKUP(A194,Tabla2[#Data],2,0),"")</f>
        <v>FERNANDO JOSE AYALA RIOS</v>
      </c>
      <c r="C194" s="144" t="str">
        <f>+IFERROR(VLOOKUP(A194,Tabla2[#Data],3,0),"")</f>
        <v>Ayudante II M</v>
      </c>
      <c r="D194" s="144">
        <v>192</v>
      </c>
      <c r="E194" s="144">
        <v>43865</v>
      </c>
      <c r="F194" s="144" t="str">
        <f>+IFERROR(VLOOKUP(WEEKDAY(E194),Catalogo!$F$1:$G$7,2,0),"")</f>
        <v>MARTES</v>
      </c>
      <c r="G194" s="144" t="s">
        <v>320</v>
      </c>
      <c r="H194" s="144"/>
      <c r="I194" s="144">
        <v>35</v>
      </c>
      <c r="J194" s="144"/>
      <c r="K194" s="144"/>
      <c r="L194" s="144">
        <f>SUM(Tabla1[[#This Row],[Desayuno C$ 25]:[Transporte]])</f>
        <v>35</v>
      </c>
    </row>
    <row r="195" spans="1:12" x14ac:dyDescent="0.25">
      <c r="A195" s="144">
        <v>208362</v>
      </c>
      <c r="B195" s="144" t="str">
        <f>+IFERROR(VLOOKUP(A195,Tabla2[#Data],2,0),"")</f>
        <v>PABLO JUSTINO REAL NUÑEZ</v>
      </c>
      <c r="C195" s="144" t="str">
        <f>+IFERROR(VLOOKUP(A195,Tabla2[#Data],3,0),"")</f>
        <v>Operador de Maquinaria Pesada II</v>
      </c>
      <c r="D195" s="144">
        <v>193</v>
      </c>
      <c r="E195" s="144">
        <v>43865</v>
      </c>
      <c r="F195" s="144" t="str">
        <f>+IFERROR(VLOOKUP(WEEKDAY(E195),Catalogo!$F$1:$G$7,2,0),"")</f>
        <v>MARTES</v>
      </c>
      <c r="G195" s="144" t="s">
        <v>320</v>
      </c>
      <c r="H195" s="144"/>
      <c r="I195" s="144">
        <v>35</v>
      </c>
      <c r="J195" s="144"/>
      <c r="K195" s="144"/>
      <c r="L195" s="144">
        <f>SUM(Tabla1[[#This Row],[Desayuno C$ 25]:[Transporte]])</f>
        <v>35</v>
      </c>
    </row>
    <row r="196" spans="1:12" x14ac:dyDescent="0.25">
      <c r="A196" s="144">
        <v>203593</v>
      </c>
      <c r="B196" s="144" t="str">
        <f>+IFERROR(VLOOKUP(A196,Tabla2[#Data],2,0),"")</f>
        <v>LUIS FELIPE ALVARADO MONTES</v>
      </c>
      <c r="C196" s="144" t="str">
        <f>+IFERROR(VLOOKUP(A196,Tabla2[#Data],3,0),"")</f>
        <v>Operador de Cabezal I</v>
      </c>
      <c r="D196" s="144">
        <v>194</v>
      </c>
      <c r="E196" s="144">
        <v>43865</v>
      </c>
      <c r="F196" s="144" t="str">
        <f>+IFERROR(VLOOKUP(WEEKDAY(E196),Catalogo!$F$1:$G$7,2,0),"")</f>
        <v>MARTES</v>
      </c>
      <c r="G196" s="144" t="s">
        <v>320</v>
      </c>
      <c r="H196" s="144"/>
      <c r="I196" s="144">
        <v>35</v>
      </c>
      <c r="J196" s="144"/>
      <c r="K196" s="144"/>
      <c r="L196" s="144">
        <f>SUM(Tabla1[[#This Row],[Desayuno C$ 25]:[Transporte]])</f>
        <v>35</v>
      </c>
    </row>
    <row r="197" spans="1:12" x14ac:dyDescent="0.25">
      <c r="A197" s="144">
        <v>211419</v>
      </c>
      <c r="B197" s="144" t="str">
        <f>+IFERROR(VLOOKUP(A197,Tabla2[#Data],2,0),"")</f>
        <v>ALFREDO CESAR VALLADAREZ AGUILERA</v>
      </c>
      <c r="C197" s="144" t="str">
        <f>+IFERROR(VLOOKUP(A197,Tabla2[#Data],3,0),"")</f>
        <v>Auxiliar de patio de caña</v>
      </c>
      <c r="D197" s="144">
        <v>195</v>
      </c>
      <c r="E197" s="144">
        <v>43866</v>
      </c>
      <c r="F197" s="144" t="str">
        <f>+IFERROR(VLOOKUP(WEEKDAY(E197),Catalogo!$F$1:$G$7,2,0),"")</f>
        <v>MIÉRCOLES</v>
      </c>
      <c r="G197" s="144" t="s">
        <v>215</v>
      </c>
      <c r="H197" s="144"/>
      <c r="I197" s="144">
        <v>35</v>
      </c>
      <c r="J197" s="144"/>
      <c r="K197" s="144"/>
      <c r="L197" s="144">
        <f>SUM(Tabla1[[#This Row],[Desayuno C$ 25]:[Transporte]])</f>
        <v>35</v>
      </c>
    </row>
    <row r="198" spans="1:12" x14ac:dyDescent="0.25">
      <c r="A198" s="144">
        <v>211475</v>
      </c>
      <c r="B198" s="144" t="str">
        <f>+IFERROR(VLOOKUP(A198,Tabla2[#Data],2,0),"")</f>
        <v>FREDDYS JOSUE AGUILERA ANDRADE</v>
      </c>
      <c r="C198" s="144" t="str">
        <f>+IFERROR(VLOOKUP(A198,Tabla2[#Data],3,0),"")</f>
        <v>Auxiliar de Patio de Caña</v>
      </c>
      <c r="D198" s="144">
        <v>196</v>
      </c>
      <c r="E198" s="144">
        <v>43866</v>
      </c>
      <c r="F198" s="144" t="str">
        <f>+IFERROR(VLOOKUP(WEEKDAY(E198),Catalogo!$F$1:$G$7,2,0),"")</f>
        <v>MIÉRCOLES</v>
      </c>
      <c r="G198" s="144" t="s">
        <v>326</v>
      </c>
      <c r="H198" s="144"/>
      <c r="I198" s="144">
        <v>35</v>
      </c>
      <c r="J198" s="144"/>
      <c r="K198" s="144"/>
      <c r="L198" s="144">
        <f>SUM(Tabla1[[#This Row],[Desayuno C$ 25]:[Transporte]])</f>
        <v>35</v>
      </c>
    </row>
    <row r="199" spans="1:12" x14ac:dyDescent="0.25">
      <c r="A199" s="144">
        <v>207318</v>
      </c>
      <c r="B199" s="144" t="str">
        <f>+IFERROR(VLOOKUP(A199,Tabla2[#Data],2,0),"")</f>
        <v>HARRISON WILFREDO OLIVERA MENDOZA</v>
      </c>
      <c r="C199" s="144" t="str">
        <f>+IFERROR(VLOOKUP(A199,Tabla2[#Data],3,0),"")</f>
        <v>Ayudante II M</v>
      </c>
      <c r="D199" s="144">
        <v>197</v>
      </c>
      <c r="E199" s="144">
        <v>43866</v>
      </c>
      <c r="F199" s="144" t="str">
        <f>+IFERROR(VLOOKUP(WEEKDAY(E199),Catalogo!$F$1:$G$7,2,0),"")</f>
        <v>MIÉRCOLES</v>
      </c>
      <c r="G199" s="144" t="s">
        <v>326</v>
      </c>
      <c r="H199" s="144"/>
      <c r="I199" s="144">
        <v>35</v>
      </c>
      <c r="J199" s="144"/>
      <c r="K199" s="144"/>
      <c r="L199" s="144">
        <f>SUM(Tabla1[[#This Row],[Desayuno C$ 25]:[Transporte]])</f>
        <v>35</v>
      </c>
    </row>
    <row r="200" spans="1:12" x14ac:dyDescent="0.25">
      <c r="A200" s="144">
        <v>212999</v>
      </c>
      <c r="B200" s="144" t="str">
        <f>+IFERROR(VLOOKUP(A200,Tabla2[#Data],2,0),"")</f>
        <v>CARLOS ALEXANDER PINEDA RAMIREZ</v>
      </c>
      <c r="C200" s="144" t="str">
        <f>+IFERROR(VLOOKUP(A200,Tabla2[#Data],3,0),"")</f>
        <v>Operador de Cabezal I</v>
      </c>
      <c r="D200" s="144">
        <v>198</v>
      </c>
      <c r="E200" s="144">
        <v>43866</v>
      </c>
      <c r="F200" s="144" t="str">
        <f>+IFERROR(VLOOKUP(WEEKDAY(E200),Catalogo!$F$1:$G$7,2,0),"")</f>
        <v>MIÉRCOLES</v>
      </c>
      <c r="G200" s="144" t="s">
        <v>220</v>
      </c>
      <c r="H200" s="144"/>
      <c r="I200" s="144">
        <v>65</v>
      </c>
      <c r="J200" s="144"/>
      <c r="K200" s="144"/>
      <c r="L200" s="144">
        <f>SUM(Tabla1[[#This Row],[Desayuno C$ 25]:[Transporte]])</f>
        <v>65</v>
      </c>
    </row>
    <row r="201" spans="1:12" x14ac:dyDescent="0.25">
      <c r="A201" s="144">
        <v>204136</v>
      </c>
      <c r="B201" s="144" t="str">
        <f>+IFERROR(VLOOKUP(A201,Tabla2[#Data],2,0),"")</f>
        <v>EDWIN JAVIER ZARATE</v>
      </c>
      <c r="C201" s="144" t="str">
        <f>+IFERROR(VLOOKUP(A201,Tabla2[#Data],3,0),"")</f>
        <v>Operador de Cabezal I</v>
      </c>
      <c r="D201" s="144">
        <v>199</v>
      </c>
      <c r="E201" s="144">
        <v>43866</v>
      </c>
      <c r="F201" s="144" t="str">
        <f>+IFERROR(VLOOKUP(WEEKDAY(E201),Catalogo!$F$1:$G$7,2,0),"")</f>
        <v>MIÉRCOLES</v>
      </c>
      <c r="G201" s="144" t="s">
        <v>326</v>
      </c>
      <c r="H201" s="144"/>
      <c r="I201" s="144">
        <v>35</v>
      </c>
      <c r="J201" s="144"/>
      <c r="K201" s="144"/>
      <c r="L201" s="144">
        <f>SUM(Tabla1[[#This Row],[Desayuno C$ 25]:[Transporte]])</f>
        <v>35</v>
      </c>
    </row>
    <row r="202" spans="1:12" x14ac:dyDescent="0.25">
      <c r="A202" s="144">
        <v>202191</v>
      </c>
      <c r="B202" s="144" t="str">
        <f>+IFERROR(VLOOKUP(A202,Tabla2[#Data],2,0),"")</f>
        <v>FRANCISCO JAVIER ROMERO M.</v>
      </c>
      <c r="C202" s="144" t="str">
        <f>+IFERROR(VLOOKUP(A202,Tabla2[#Data],3,0),"")</f>
        <v>Operador de Cabezal I</v>
      </c>
      <c r="D202" s="144">
        <v>200</v>
      </c>
      <c r="E202" s="144">
        <v>43866</v>
      </c>
      <c r="F202" s="144" t="str">
        <f>+IFERROR(VLOOKUP(WEEKDAY(E202),Catalogo!$F$1:$G$7,2,0),"")</f>
        <v>MIÉRCOLES</v>
      </c>
      <c r="G202" s="144" t="s">
        <v>220</v>
      </c>
      <c r="H202" s="144"/>
      <c r="I202" s="144">
        <v>65</v>
      </c>
      <c r="J202" s="144"/>
      <c r="K202" s="144"/>
      <c r="L202" s="144">
        <f>SUM(Tabla1[[#This Row],[Desayuno C$ 25]:[Transporte]])</f>
        <v>65</v>
      </c>
    </row>
    <row r="203" spans="1:12" x14ac:dyDescent="0.25">
      <c r="A203" s="144">
        <v>203469</v>
      </c>
      <c r="B203" s="144" t="str">
        <f>+IFERROR(VLOOKUP(A203,Tabla2[#Data],2,0),"")</f>
        <v>JORGE ISAAC ULLOA</v>
      </c>
      <c r="C203" s="144" t="str">
        <f>+IFERROR(VLOOKUP(A203,Tabla2[#Data],3,0),"")</f>
        <v>Operador de Cabezal I</v>
      </c>
      <c r="D203" s="144">
        <v>201</v>
      </c>
      <c r="E203" s="144">
        <v>43866</v>
      </c>
      <c r="F203" s="144" t="str">
        <f>+IFERROR(VLOOKUP(WEEKDAY(E203),Catalogo!$F$1:$G$7,2,0),"")</f>
        <v>MIÉRCOLES</v>
      </c>
      <c r="G203" s="144" t="s">
        <v>320</v>
      </c>
      <c r="H203" s="144"/>
      <c r="I203" s="144">
        <v>35</v>
      </c>
      <c r="J203" s="144"/>
      <c r="K203" s="144"/>
      <c r="L203" s="144">
        <f>SUM(Tabla1[[#This Row],[Desayuno C$ 25]:[Transporte]])</f>
        <v>35</v>
      </c>
    </row>
    <row r="204" spans="1:12" x14ac:dyDescent="0.25">
      <c r="A204" s="144">
        <v>212383</v>
      </c>
      <c r="B204" s="144" t="str">
        <f>+IFERROR(VLOOKUP(A204,Tabla2[#Data],2,0),"")</f>
        <v>JOSE DOMINGO TERCERO HERNANDEZ</v>
      </c>
      <c r="C204" s="144" t="str">
        <f>+IFERROR(VLOOKUP(A204,Tabla2[#Data],3,0),"")</f>
        <v>Operador de Cabezal I</v>
      </c>
      <c r="D204" s="144">
        <v>202</v>
      </c>
      <c r="E204" s="144">
        <v>43866</v>
      </c>
      <c r="F204" s="144" t="str">
        <f>+IFERROR(VLOOKUP(WEEKDAY(E204),Catalogo!$F$1:$G$7,2,0),"")</f>
        <v>MIÉRCOLES</v>
      </c>
      <c r="G204" s="144" t="s">
        <v>320</v>
      </c>
      <c r="H204" s="144"/>
      <c r="I204" s="144">
        <v>35</v>
      </c>
      <c r="J204" s="144"/>
      <c r="K204" s="144"/>
      <c r="L204" s="144">
        <f>SUM(Tabla1[[#This Row],[Desayuno C$ 25]:[Transporte]])</f>
        <v>35</v>
      </c>
    </row>
    <row r="205" spans="1:12" x14ac:dyDescent="0.25">
      <c r="A205" s="144">
        <v>209730</v>
      </c>
      <c r="B205" s="144" t="str">
        <f>+IFERROR(VLOOKUP(A205,Tabla2[#Data],2,0),"")</f>
        <v>JULIO CESAR PADILLA GRANADO</v>
      </c>
      <c r="C205" s="144" t="str">
        <f>+IFERROR(VLOOKUP(A205,Tabla2[#Data],3,0),"")</f>
        <v>Operador de Cabezal I</v>
      </c>
      <c r="D205" s="144">
        <v>203</v>
      </c>
      <c r="E205" s="144">
        <v>43866</v>
      </c>
      <c r="F205" s="144" t="str">
        <f>+IFERROR(VLOOKUP(WEEKDAY(E205),Catalogo!$F$1:$G$7,2,0),"")</f>
        <v>MIÉRCOLES</v>
      </c>
      <c r="G205" s="144" t="s">
        <v>322</v>
      </c>
      <c r="H205" s="144"/>
      <c r="I205" s="144">
        <v>35</v>
      </c>
      <c r="J205" s="144"/>
      <c r="K205" s="144"/>
      <c r="L205" s="144">
        <f>SUM(Tabla1[[#This Row],[Desayuno C$ 25]:[Transporte]])</f>
        <v>35</v>
      </c>
    </row>
    <row r="206" spans="1:12" x14ac:dyDescent="0.25">
      <c r="A206" s="144">
        <v>204854</v>
      </c>
      <c r="B206" s="144" t="str">
        <f>+IFERROR(VLOOKUP(A206,Tabla2[#Data],2,0),"")</f>
        <v>BENITO NUÑEZ VIDAURRE</v>
      </c>
      <c r="C206" s="144" t="str">
        <f>+IFERROR(VLOOKUP(A206,Tabla2[#Data],3,0),"")</f>
        <v>Operador de Maquinaria Pesada I</v>
      </c>
      <c r="D206" s="144">
        <v>204</v>
      </c>
      <c r="E206" s="144">
        <v>43866</v>
      </c>
      <c r="F206" s="144" t="str">
        <f>+IFERROR(VLOOKUP(WEEKDAY(E206),Catalogo!$F$1:$G$7,2,0),"")</f>
        <v>MIÉRCOLES</v>
      </c>
      <c r="G206" s="144" t="s">
        <v>320</v>
      </c>
      <c r="H206" s="144"/>
      <c r="I206" s="144">
        <v>35</v>
      </c>
      <c r="J206" s="144"/>
      <c r="K206" s="144"/>
      <c r="L206" s="144">
        <f>SUM(Tabla1[[#This Row],[Desayuno C$ 25]:[Transporte]])</f>
        <v>35</v>
      </c>
    </row>
    <row r="207" spans="1:12" x14ac:dyDescent="0.25">
      <c r="A207" s="144">
        <v>212248</v>
      </c>
      <c r="B207" s="144" t="str">
        <f>+IFERROR(VLOOKUP(A207,Tabla2[#Data],2,0),"")</f>
        <v>ERNALDO DAVID GARCIA MEZA</v>
      </c>
      <c r="C207" s="144" t="str">
        <f>+IFERROR(VLOOKUP(A207,Tabla2[#Data],3,0),"")</f>
        <v>Operador de Maquinaria Pesada II</v>
      </c>
      <c r="D207" s="144">
        <v>205</v>
      </c>
      <c r="E207" s="144">
        <v>43866</v>
      </c>
      <c r="F207" s="144" t="str">
        <f>+IFERROR(VLOOKUP(WEEKDAY(E207),Catalogo!$F$1:$G$7,2,0),"")</f>
        <v>MIÉRCOLES</v>
      </c>
      <c r="G207" s="144" t="s">
        <v>320</v>
      </c>
      <c r="H207" s="144"/>
      <c r="I207" s="144">
        <v>35</v>
      </c>
      <c r="J207" s="144"/>
      <c r="K207" s="144"/>
      <c r="L207" s="144">
        <f>SUM(Tabla1[[#This Row],[Desayuno C$ 25]:[Transporte]])</f>
        <v>35</v>
      </c>
    </row>
    <row r="208" spans="1:12" x14ac:dyDescent="0.25">
      <c r="A208" s="144">
        <v>208966</v>
      </c>
      <c r="B208" s="144" t="str">
        <f>+IFERROR(VLOOKUP(A208,Tabla2[#Data],2,0),"")</f>
        <v>JUAN FRANCISCO ORDOÑEZ ESPINAL</v>
      </c>
      <c r="C208" s="144" t="str">
        <f>+IFERROR(VLOOKUP(A208,Tabla2[#Data],3,0),"")</f>
        <v>Operador de Maquinaria Pesada I</v>
      </c>
      <c r="D208" s="144">
        <v>206</v>
      </c>
      <c r="E208" s="144">
        <v>43866</v>
      </c>
      <c r="F208" s="144" t="str">
        <f>+IFERROR(VLOOKUP(WEEKDAY(E208),Catalogo!$F$1:$G$7,2,0),"")</f>
        <v>MIÉRCOLES</v>
      </c>
      <c r="G208" s="144" t="s">
        <v>320</v>
      </c>
      <c r="H208" s="144"/>
      <c r="I208" s="144">
        <v>35</v>
      </c>
      <c r="J208" s="144"/>
      <c r="K208" s="144"/>
      <c r="L208" s="144">
        <f>SUM(Tabla1[[#This Row],[Desayuno C$ 25]:[Transporte]])</f>
        <v>35</v>
      </c>
    </row>
    <row r="209" spans="1:12" x14ac:dyDescent="0.25">
      <c r="A209" s="144">
        <v>202113</v>
      </c>
      <c r="B209" s="144" t="str">
        <f>+IFERROR(VLOOKUP(A209,Tabla2[#Data],2,0),"")</f>
        <v>LEONEL ISMAEL CORDOBA NARVAEZ</v>
      </c>
      <c r="C209" s="144" t="str">
        <f>+IFERROR(VLOOKUP(A209,Tabla2[#Data],3,0),"")</f>
        <v>Operador de Maquinaria Pesada III</v>
      </c>
      <c r="D209" s="144">
        <v>207</v>
      </c>
      <c r="E209" s="144">
        <v>43866</v>
      </c>
      <c r="F209" s="144" t="str">
        <f>+IFERROR(VLOOKUP(WEEKDAY(E209),Catalogo!$F$1:$G$7,2,0),"")</f>
        <v>MIÉRCOLES</v>
      </c>
      <c r="G209" s="144" t="s">
        <v>326</v>
      </c>
      <c r="H209" s="144"/>
      <c r="I209" s="144">
        <v>35</v>
      </c>
      <c r="J209" s="144"/>
      <c r="K209" s="144"/>
      <c r="L209" s="144">
        <f>SUM(Tabla1[[#This Row],[Desayuno C$ 25]:[Transporte]])</f>
        <v>35</v>
      </c>
    </row>
    <row r="210" spans="1:12" x14ac:dyDescent="0.25">
      <c r="A210" s="144">
        <v>203394</v>
      </c>
      <c r="B210" s="144" t="str">
        <f>+IFERROR(VLOOKUP(A210,Tabla2[#Data],2,0),"")</f>
        <v>OSCAR FRANCISCO CARCAMO HERRERA</v>
      </c>
      <c r="C210" s="144" t="str">
        <f>+IFERROR(VLOOKUP(A210,Tabla2[#Data],3,0),"")</f>
        <v>Operador de Maquinaria Pesada I</v>
      </c>
      <c r="D210" s="144">
        <v>208</v>
      </c>
      <c r="E210" s="144">
        <v>43866</v>
      </c>
      <c r="F210" s="144" t="str">
        <f>+IFERROR(VLOOKUP(WEEKDAY(E210),Catalogo!$F$1:$G$7,2,0),"")</f>
        <v>MIÉRCOLES</v>
      </c>
      <c r="G210" s="144" t="s">
        <v>320</v>
      </c>
      <c r="H210" s="144"/>
      <c r="I210" s="144">
        <v>35</v>
      </c>
      <c r="J210" s="144"/>
      <c r="K210" s="144"/>
      <c r="L210" s="144">
        <f>SUM(Tabla1[[#This Row],[Desayuno C$ 25]:[Transporte]])</f>
        <v>35</v>
      </c>
    </row>
    <row r="211" spans="1:12" x14ac:dyDescent="0.25">
      <c r="A211" s="144">
        <v>210471</v>
      </c>
      <c r="B211" s="144" t="str">
        <f>+IFERROR(VLOOKUP(A211,Tabla2[#Data],2,0),"")</f>
        <v>REYNALDO JOSE RIVERA MARTINEZ</v>
      </c>
      <c r="C211" s="144" t="str">
        <f>+IFERROR(VLOOKUP(A211,Tabla2[#Data],3,0),"")</f>
        <v>Operador de Maquinaria Pesada III</v>
      </c>
      <c r="D211" s="144">
        <v>209</v>
      </c>
      <c r="E211" s="144">
        <v>43866</v>
      </c>
      <c r="F211" s="144" t="str">
        <f>+IFERROR(VLOOKUP(WEEKDAY(E211),Catalogo!$F$1:$G$7,2,0),"")</f>
        <v>MIÉRCOLES</v>
      </c>
      <c r="G211" s="144" t="s">
        <v>320</v>
      </c>
      <c r="H211" s="144"/>
      <c r="I211" s="144">
        <v>35</v>
      </c>
      <c r="J211" s="144"/>
      <c r="K211" s="144"/>
      <c r="L211" s="144">
        <f>SUM(Tabla1[[#This Row],[Desayuno C$ 25]:[Transporte]])</f>
        <v>35</v>
      </c>
    </row>
    <row r="212" spans="1:12" x14ac:dyDescent="0.25">
      <c r="A212" s="144">
        <v>204112</v>
      </c>
      <c r="B212" s="144" t="str">
        <f>+IFERROR(VLOOKUP(A212,Tabla2[#Data],2,0),"")</f>
        <v>VICENTE DE JESUS ROMERO LANZAS</v>
      </c>
      <c r="C212" s="144" t="str">
        <f>+IFERROR(VLOOKUP(A212,Tabla2[#Data],3,0),"")</f>
        <v>Operador de Maquinaria Pesada II</v>
      </c>
      <c r="D212" s="144">
        <v>210</v>
      </c>
      <c r="E212" s="144">
        <v>43866</v>
      </c>
      <c r="F212" s="144" t="str">
        <f>+IFERROR(VLOOKUP(WEEKDAY(E212),Catalogo!$F$1:$G$7,2,0),"")</f>
        <v>MIÉRCOLES</v>
      </c>
      <c r="G212" s="144" t="s">
        <v>320</v>
      </c>
      <c r="H212" s="144"/>
      <c r="I212" s="144">
        <v>35</v>
      </c>
      <c r="J212" s="144"/>
      <c r="K212" s="144"/>
      <c r="L212" s="144">
        <f>SUM(Tabla1[[#This Row],[Desayuno C$ 25]:[Transporte]])</f>
        <v>35</v>
      </c>
    </row>
    <row r="213" spans="1:12" x14ac:dyDescent="0.25">
      <c r="A213" s="144">
        <v>213353</v>
      </c>
      <c r="B213" s="144" t="str">
        <f>+IFERROR(VLOOKUP(A213,Tabla2[#Data],2,0),"")</f>
        <v>ELOY ANTONIO HERRERA</v>
      </c>
      <c r="C213" s="144" t="str">
        <f>+IFERROR(VLOOKUP(A213,Tabla2[#Data],3,0),"")</f>
        <v>Operador de Cabezal I</v>
      </c>
      <c r="D213" s="144">
        <v>211</v>
      </c>
      <c r="E213" s="144">
        <v>43866</v>
      </c>
      <c r="F213" s="144" t="str">
        <f>+IFERROR(VLOOKUP(WEEKDAY(E213),Catalogo!$F$1:$G$7,2,0),"")</f>
        <v>MIÉRCOLES</v>
      </c>
      <c r="G213" s="144" t="s">
        <v>291</v>
      </c>
      <c r="H213" s="144"/>
      <c r="I213" s="144">
        <v>35</v>
      </c>
      <c r="J213" s="144"/>
      <c r="K213" s="144"/>
      <c r="L213" s="144">
        <f>SUM(Tabla1[[#This Row],[Desayuno C$ 25]:[Transporte]])</f>
        <v>35</v>
      </c>
    </row>
    <row r="214" spans="1:12" x14ac:dyDescent="0.25">
      <c r="A214" s="144">
        <v>209780</v>
      </c>
      <c r="B214" s="144" t="str">
        <f>+IFERROR(VLOOKUP(A214,Tabla2[#Data],2,0),"")</f>
        <v>LUIS ADOLFO BARRERA AYALA</v>
      </c>
      <c r="C214" s="144" t="str">
        <f>+IFERROR(VLOOKUP(A214,Tabla2[#Data],3,0),"")</f>
        <v>Operador de Maquinaria Pesada III</v>
      </c>
      <c r="D214" s="144">
        <v>212</v>
      </c>
      <c r="E214" s="144">
        <v>43866</v>
      </c>
      <c r="F214" s="144" t="str">
        <f>+IFERROR(VLOOKUP(WEEKDAY(E214),Catalogo!$F$1:$G$7,2,0),"")</f>
        <v>MIÉRCOLES</v>
      </c>
      <c r="G214" s="144" t="s">
        <v>320</v>
      </c>
      <c r="H214" s="144"/>
      <c r="I214" s="144">
        <v>35</v>
      </c>
      <c r="J214" s="144"/>
      <c r="K214" s="144"/>
      <c r="L214" s="144">
        <f>SUM(Tabla1[[#This Row],[Desayuno C$ 25]:[Transporte]])</f>
        <v>35</v>
      </c>
    </row>
    <row r="215" spans="1:12" x14ac:dyDescent="0.25">
      <c r="A215" s="144">
        <v>203428</v>
      </c>
      <c r="B215" s="144" t="str">
        <f>+IFERROR(VLOOKUP(A215,Tabla2[#Data],2,0),"")</f>
        <v>FERNANDO JOSE AYALA RIOS</v>
      </c>
      <c r="C215" s="144" t="str">
        <f>+IFERROR(VLOOKUP(A215,Tabla2[#Data],3,0),"")</f>
        <v>Ayudante II M</v>
      </c>
      <c r="D215" s="144">
        <v>213</v>
      </c>
      <c r="E215" s="144">
        <v>43866</v>
      </c>
      <c r="F215" s="144" t="str">
        <f>+IFERROR(VLOOKUP(WEEKDAY(E215),Catalogo!$F$1:$G$7,2,0),"")</f>
        <v>MIÉRCOLES</v>
      </c>
      <c r="G215" s="144" t="s">
        <v>320</v>
      </c>
      <c r="H215" s="144"/>
      <c r="I215" s="144">
        <v>35</v>
      </c>
      <c r="J215" s="144"/>
      <c r="K215" s="144"/>
      <c r="L215" s="144">
        <f>SUM(Tabla1[[#This Row],[Desayuno C$ 25]:[Transporte]])</f>
        <v>35</v>
      </c>
    </row>
    <row r="216" spans="1:12" x14ac:dyDescent="0.25">
      <c r="A216" s="144">
        <v>208362</v>
      </c>
      <c r="B216" s="144" t="str">
        <f>+IFERROR(VLOOKUP(A216,Tabla2[#Data],2,0),"")</f>
        <v>PABLO JUSTINO REAL NUÑEZ</v>
      </c>
      <c r="C216" s="144" t="str">
        <f>+IFERROR(VLOOKUP(A216,Tabla2[#Data],3,0),"")</f>
        <v>Operador de Maquinaria Pesada II</v>
      </c>
      <c r="D216" s="144">
        <v>214</v>
      </c>
      <c r="E216" s="144">
        <v>43866</v>
      </c>
      <c r="F216" s="144" t="str">
        <f>+IFERROR(VLOOKUP(WEEKDAY(E216),Catalogo!$F$1:$G$7,2,0),"")</f>
        <v>MIÉRCOLES</v>
      </c>
      <c r="G216" s="144" t="s">
        <v>320</v>
      </c>
      <c r="H216" s="144"/>
      <c r="I216" s="144">
        <v>35</v>
      </c>
      <c r="J216" s="144"/>
      <c r="K216" s="144"/>
      <c r="L216" s="144">
        <f>SUM(Tabla1[[#This Row],[Desayuno C$ 25]:[Transporte]])</f>
        <v>35</v>
      </c>
    </row>
    <row r="217" spans="1:12" x14ac:dyDescent="0.25">
      <c r="A217" s="144">
        <v>213423</v>
      </c>
      <c r="B217" s="144" t="str">
        <f>+IFERROR(VLOOKUP(A217,Tabla2[#Data],2,0),"")</f>
        <v>EMILIO ZAMIR MARADIAGA OSABA</v>
      </c>
      <c r="C217" s="144" t="str">
        <f>+IFERROR(VLOOKUP(A217,Tabla2[#Data],3,0),"")</f>
        <v>Operador de Cabezal I</v>
      </c>
      <c r="D217" s="144">
        <v>215</v>
      </c>
      <c r="E217" s="144">
        <v>43866</v>
      </c>
      <c r="F217" s="144" t="str">
        <f>+IFERROR(VLOOKUP(WEEKDAY(E217),Catalogo!$F$1:$G$7,2,0),"")</f>
        <v>MIÉRCOLES</v>
      </c>
      <c r="G217" s="144" t="s">
        <v>320</v>
      </c>
      <c r="H217" s="144"/>
      <c r="I217" s="144">
        <v>35</v>
      </c>
      <c r="J217" s="144"/>
      <c r="K217" s="144"/>
      <c r="L217" s="144">
        <f>SUM(Tabla1[[#This Row],[Desayuno C$ 25]:[Transporte]])</f>
        <v>35</v>
      </c>
    </row>
    <row r="218" spans="1:12" x14ac:dyDescent="0.25">
      <c r="A218" s="144">
        <v>211419</v>
      </c>
      <c r="B218" s="144" t="str">
        <f>+IFERROR(VLOOKUP(A218,Tabla2[#Data],2,0),"")</f>
        <v>ALFREDO CESAR VALLADAREZ AGUILERA</v>
      </c>
      <c r="C218" s="144" t="str">
        <f>+IFERROR(VLOOKUP(A218,Tabla2[#Data],3,0),"")</f>
        <v>Auxiliar de patio de caña</v>
      </c>
      <c r="D218" s="144">
        <v>216</v>
      </c>
      <c r="E218" s="144">
        <v>43867</v>
      </c>
      <c r="F218" s="144" t="str">
        <f>+IFERROR(VLOOKUP(WEEKDAY(E218),Catalogo!$F$1:$G$7,2,0),"")</f>
        <v>JUEVES</v>
      </c>
      <c r="G218" s="144" t="s">
        <v>215</v>
      </c>
      <c r="H218" s="144"/>
      <c r="I218" s="144">
        <v>35</v>
      </c>
      <c r="J218" s="144"/>
      <c r="K218" s="144"/>
      <c r="L218" s="144">
        <f>SUM(Tabla1[[#This Row],[Desayuno C$ 25]:[Transporte]])</f>
        <v>35</v>
      </c>
    </row>
    <row r="219" spans="1:12" x14ac:dyDescent="0.25">
      <c r="A219" s="144">
        <v>211475</v>
      </c>
      <c r="B219" s="144" t="str">
        <f>+IFERROR(VLOOKUP(A219,Tabla2[#Data],2,0),"")</f>
        <v>FREDDYS JOSUE AGUILERA ANDRADE</v>
      </c>
      <c r="C219" s="144" t="str">
        <f>+IFERROR(VLOOKUP(A219,Tabla2[#Data],3,0),"")</f>
        <v>Auxiliar de Patio de Caña</v>
      </c>
      <c r="D219" s="144">
        <v>217</v>
      </c>
      <c r="E219" s="144">
        <v>43867</v>
      </c>
      <c r="F219" s="144" t="str">
        <f>+IFERROR(VLOOKUP(WEEKDAY(E219),Catalogo!$F$1:$G$7,2,0),"")</f>
        <v>JUEVES</v>
      </c>
      <c r="G219" s="144" t="s">
        <v>326</v>
      </c>
      <c r="H219" s="144"/>
      <c r="I219" s="144">
        <v>35</v>
      </c>
      <c r="J219" s="144"/>
      <c r="K219" s="144"/>
      <c r="L219" s="144">
        <f>SUM(Tabla1[[#This Row],[Desayuno C$ 25]:[Transporte]])</f>
        <v>35</v>
      </c>
    </row>
    <row r="220" spans="1:12" x14ac:dyDescent="0.25">
      <c r="A220" s="144">
        <v>204136</v>
      </c>
      <c r="B220" s="144" t="str">
        <f>+IFERROR(VLOOKUP(A220,Tabla2[#Data],2,0),"")</f>
        <v>EDWIN JAVIER ZARATE</v>
      </c>
      <c r="C220" s="144" t="str">
        <f>+IFERROR(VLOOKUP(A220,Tabla2[#Data],3,0),"")</f>
        <v>Operador de Cabezal I</v>
      </c>
      <c r="D220" s="144">
        <v>218</v>
      </c>
      <c r="E220" s="144">
        <v>43867</v>
      </c>
      <c r="F220" s="144" t="str">
        <f>+IFERROR(VLOOKUP(WEEKDAY(E220),Catalogo!$F$1:$G$7,2,0),"")</f>
        <v>JUEVES</v>
      </c>
      <c r="G220" s="144" t="s">
        <v>326</v>
      </c>
      <c r="H220" s="144"/>
      <c r="I220" s="144">
        <v>35</v>
      </c>
      <c r="J220" s="144"/>
      <c r="K220" s="144"/>
      <c r="L220" s="144">
        <f>SUM(Tabla1[[#This Row],[Desayuno C$ 25]:[Transporte]])</f>
        <v>35</v>
      </c>
    </row>
    <row r="221" spans="1:12" x14ac:dyDescent="0.25">
      <c r="A221" s="144">
        <v>209730</v>
      </c>
      <c r="B221" s="144" t="str">
        <f>+IFERROR(VLOOKUP(A221,Tabla2[#Data],2,0),"")</f>
        <v>JULIO CESAR PADILLA GRANADO</v>
      </c>
      <c r="C221" s="144" t="str">
        <f>+IFERROR(VLOOKUP(A221,Tabla2[#Data],3,0),"")</f>
        <v>Operador de Cabezal I</v>
      </c>
      <c r="D221" s="144">
        <v>219</v>
      </c>
      <c r="E221" s="144">
        <v>43867</v>
      </c>
      <c r="F221" s="144" t="str">
        <f>+IFERROR(VLOOKUP(WEEKDAY(E221),Catalogo!$F$1:$G$7,2,0),"")</f>
        <v>JUEVES</v>
      </c>
      <c r="G221" s="144" t="s">
        <v>217</v>
      </c>
      <c r="H221" s="144"/>
      <c r="I221" s="144">
        <v>65</v>
      </c>
      <c r="J221" s="144"/>
      <c r="K221" s="144"/>
      <c r="L221" s="144">
        <f>SUM(Tabla1[[#This Row],[Desayuno C$ 25]:[Transporte]])</f>
        <v>65</v>
      </c>
    </row>
    <row r="222" spans="1:12" x14ac:dyDescent="0.25">
      <c r="A222" s="144">
        <v>212407</v>
      </c>
      <c r="B222" s="144" t="str">
        <f>+IFERROR(VLOOKUP(A222,Tabla2[#Data],2,0),"")</f>
        <v>LEONEL ANTONIO SANTOS MARTINEZ</v>
      </c>
      <c r="C222" s="144" t="str">
        <f>+IFERROR(VLOOKUP(A222,Tabla2[#Data],3,0),"")</f>
        <v>Operador de Cabezal I</v>
      </c>
      <c r="D222" s="144">
        <v>220</v>
      </c>
      <c r="E222" s="144">
        <v>43867</v>
      </c>
      <c r="F222" s="144" t="str">
        <f>+IFERROR(VLOOKUP(WEEKDAY(E222),Catalogo!$F$1:$G$7,2,0),"")</f>
        <v>JUEVES</v>
      </c>
      <c r="G222" s="144" t="s">
        <v>320</v>
      </c>
      <c r="H222" s="144"/>
      <c r="I222" s="144">
        <v>35</v>
      </c>
      <c r="J222" s="144"/>
      <c r="K222" s="144"/>
      <c r="L222" s="144">
        <f>SUM(Tabla1[[#This Row],[Desayuno C$ 25]:[Transporte]])</f>
        <v>35</v>
      </c>
    </row>
    <row r="223" spans="1:12" x14ac:dyDescent="0.25">
      <c r="A223" s="144">
        <v>204854</v>
      </c>
      <c r="B223" s="144" t="str">
        <f>+IFERROR(VLOOKUP(A223,Tabla2[#Data],2,0),"")</f>
        <v>BENITO NUÑEZ VIDAURRE</v>
      </c>
      <c r="C223" s="144" t="str">
        <f>+IFERROR(VLOOKUP(A223,Tabla2[#Data],3,0),"")</f>
        <v>Operador de Maquinaria Pesada I</v>
      </c>
      <c r="D223" s="144">
        <v>221</v>
      </c>
      <c r="E223" s="144">
        <v>43867</v>
      </c>
      <c r="F223" s="144" t="str">
        <f>+IFERROR(VLOOKUP(WEEKDAY(E223),Catalogo!$F$1:$G$7,2,0),"")</f>
        <v>JUEVES</v>
      </c>
      <c r="G223" s="144" t="s">
        <v>320</v>
      </c>
      <c r="H223" s="144"/>
      <c r="I223" s="144">
        <v>35</v>
      </c>
      <c r="J223" s="144"/>
      <c r="K223" s="144"/>
      <c r="L223" s="144">
        <f>SUM(Tabla1[[#This Row],[Desayuno C$ 25]:[Transporte]])</f>
        <v>35</v>
      </c>
    </row>
    <row r="224" spans="1:12" x14ac:dyDescent="0.25">
      <c r="A224" s="144">
        <v>212248</v>
      </c>
      <c r="B224" s="144" t="str">
        <f>+IFERROR(VLOOKUP(A224,Tabla2[#Data],2,0),"")</f>
        <v>ERNALDO DAVID GARCIA MEZA</v>
      </c>
      <c r="C224" s="144" t="str">
        <f>+IFERROR(VLOOKUP(A224,Tabla2[#Data],3,0),"")</f>
        <v>Operador de Maquinaria Pesada II</v>
      </c>
      <c r="D224" s="144">
        <v>222</v>
      </c>
      <c r="E224" s="144">
        <v>43867</v>
      </c>
      <c r="F224" s="144" t="str">
        <f>+IFERROR(VLOOKUP(WEEKDAY(E224),Catalogo!$F$1:$G$7,2,0),"")</f>
        <v>JUEVES</v>
      </c>
      <c r="G224" s="144" t="s">
        <v>320</v>
      </c>
      <c r="H224" s="144"/>
      <c r="I224" s="144">
        <v>35</v>
      </c>
      <c r="J224" s="144"/>
      <c r="K224" s="144"/>
      <c r="L224" s="144">
        <f>SUM(Tabla1[[#This Row],[Desayuno C$ 25]:[Transporte]])</f>
        <v>35</v>
      </c>
    </row>
    <row r="225" spans="1:12" x14ac:dyDescent="0.25">
      <c r="A225" s="144">
        <v>202280</v>
      </c>
      <c r="B225" s="144" t="str">
        <f>+IFERROR(VLOOKUP(A225,Tabla2[#Data],2,0),"")</f>
        <v>FILIBERTO JESUS VARELA HERRERA</v>
      </c>
      <c r="C225" s="144" t="str">
        <f>+IFERROR(VLOOKUP(A225,Tabla2[#Data],3,0),"")</f>
        <v>Operador de Maquinaria Pesada I</v>
      </c>
      <c r="D225" s="144">
        <v>223</v>
      </c>
      <c r="E225" s="144">
        <v>43867</v>
      </c>
      <c r="F225" s="144" t="str">
        <f>+IFERROR(VLOOKUP(WEEKDAY(E225),Catalogo!$F$1:$G$7,2,0),"")</f>
        <v>JUEVES</v>
      </c>
      <c r="G225" s="144" t="s">
        <v>322</v>
      </c>
      <c r="H225" s="144"/>
      <c r="I225" s="144">
        <v>35</v>
      </c>
      <c r="J225" s="144"/>
      <c r="K225" s="144"/>
      <c r="L225" s="144">
        <f>SUM(Tabla1[[#This Row],[Desayuno C$ 25]:[Transporte]])</f>
        <v>35</v>
      </c>
    </row>
    <row r="226" spans="1:12" x14ac:dyDescent="0.25">
      <c r="A226" s="144">
        <v>202113</v>
      </c>
      <c r="B226" s="144" t="str">
        <f>+IFERROR(VLOOKUP(A226,Tabla2[#Data],2,0),"")</f>
        <v>LEONEL ISMAEL CORDOBA NARVAEZ</v>
      </c>
      <c r="C226" s="144" t="str">
        <f>+IFERROR(VLOOKUP(A226,Tabla2[#Data],3,0),"")</f>
        <v>Operador de Maquinaria Pesada III</v>
      </c>
      <c r="D226" s="144">
        <v>224</v>
      </c>
      <c r="E226" s="144">
        <v>43867</v>
      </c>
      <c r="F226" s="144" t="str">
        <f>+IFERROR(VLOOKUP(WEEKDAY(E226),Catalogo!$F$1:$G$7,2,0),"")</f>
        <v>JUEVES</v>
      </c>
      <c r="G226" s="144" t="s">
        <v>326</v>
      </c>
      <c r="H226" s="144"/>
      <c r="I226" s="144">
        <v>35</v>
      </c>
      <c r="J226" s="144"/>
      <c r="K226" s="144"/>
      <c r="L226" s="144">
        <f>SUM(Tabla1[[#This Row],[Desayuno C$ 25]:[Transporte]])</f>
        <v>35</v>
      </c>
    </row>
    <row r="227" spans="1:12" x14ac:dyDescent="0.25">
      <c r="A227" s="144">
        <v>210471</v>
      </c>
      <c r="B227" s="144" t="str">
        <f>+IFERROR(VLOOKUP(A227,Tabla2[#Data],2,0),"")</f>
        <v>REYNALDO JOSE RIVERA MARTINEZ</v>
      </c>
      <c r="C227" s="144" t="str">
        <f>+IFERROR(VLOOKUP(A227,Tabla2[#Data],3,0),"")</f>
        <v>Operador de Maquinaria Pesada III</v>
      </c>
      <c r="D227" s="144">
        <v>225</v>
      </c>
      <c r="E227" s="144">
        <v>43867</v>
      </c>
      <c r="F227" s="144" t="str">
        <f>+IFERROR(VLOOKUP(WEEKDAY(E227),Catalogo!$F$1:$G$7,2,0),"")</f>
        <v>JUEVES</v>
      </c>
      <c r="G227" s="144" t="s">
        <v>320</v>
      </c>
      <c r="H227" s="144"/>
      <c r="I227" s="144">
        <v>35</v>
      </c>
      <c r="J227" s="144"/>
      <c r="K227" s="144"/>
      <c r="L227" s="144">
        <f>SUM(Tabla1[[#This Row],[Desayuno C$ 25]:[Transporte]])</f>
        <v>35</v>
      </c>
    </row>
    <row r="228" spans="1:12" x14ac:dyDescent="0.25">
      <c r="A228" s="144">
        <v>204112</v>
      </c>
      <c r="B228" s="144" t="str">
        <f>+IFERROR(VLOOKUP(A228,Tabla2[#Data],2,0),"")</f>
        <v>VICENTE DE JESUS ROMERO LANZAS</v>
      </c>
      <c r="C228" s="144" t="str">
        <f>+IFERROR(VLOOKUP(A228,Tabla2[#Data],3,0),"")</f>
        <v>Operador de Maquinaria Pesada II</v>
      </c>
      <c r="D228" s="144">
        <v>226</v>
      </c>
      <c r="E228" s="144">
        <v>43867</v>
      </c>
      <c r="F228" s="144" t="str">
        <f>+IFERROR(VLOOKUP(WEEKDAY(E228),Catalogo!$F$1:$G$7,2,0),"")</f>
        <v>JUEVES</v>
      </c>
      <c r="G228" s="144" t="s">
        <v>320</v>
      </c>
      <c r="H228" s="144"/>
      <c r="I228" s="144">
        <v>35</v>
      </c>
      <c r="J228" s="144"/>
      <c r="K228" s="144"/>
      <c r="L228" s="144">
        <f>SUM(Tabla1[[#This Row],[Desayuno C$ 25]:[Transporte]])</f>
        <v>35</v>
      </c>
    </row>
    <row r="229" spans="1:12" x14ac:dyDescent="0.25">
      <c r="A229" s="144">
        <v>209780</v>
      </c>
      <c r="B229" s="144" t="str">
        <f>+IFERROR(VLOOKUP(A229,Tabla2[#Data],2,0),"")</f>
        <v>LUIS ADOLFO BARRERA AYALA</v>
      </c>
      <c r="C229" s="144" t="str">
        <f>+IFERROR(VLOOKUP(A229,Tabla2[#Data],3,0),"")</f>
        <v>Operador de Maquinaria Pesada III</v>
      </c>
      <c r="D229" s="144">
        <v>227</v>
      </c>
      <c r="E229" s="144">
        <v>43867</v>
      </c>
      <c r="F229" s="144" t="str">
        <f>+IFERROR(VLOOKUP(WEEKDAY(E229),Catalogo!$F$1:$G$7,2,0),"")</f>
        <v>JUEVES</v>
      </c>
      <c r="G229" s="144" t="s">
        <v>320</v>
      </c>
      <c r="H229" s="144"/>
      <c r="I229" s="144">
        <v>35</v>
      </c>
      <c r="J229" s="144"/>
      <c r="K229" s="144"/>
      <c r="L229" s="144">
        <f>SUM(Tabla1[[#This Row],[Desayuno C$ 25]:[Transporte]])</f>
        <v>35</v>
      </c>
    </row>
    <row r="230" spans="1:12" x14ac:dyDescent="0.25">
      <c r="A230" s="144">
        <v>213380</v>
      </c>
      <c r="B230" s="144" t="str">
        <f>+IFERROR(VLOOKUP(A230,Tabla2[#Data],2,0),"")</f>
        <v>GERARDO JOSE MEZA</v>
      </c>
      <c r="C230" s="144" t="str">
        <f>+IFERROR(VLOOKUP(A230,Tabla2[#Data],3,0),"")</f>
        <v>Operador de Maquinaria Pesada I</v>
      </c>
      <c r="D230" s="144">
        <v>228</v>
      </c>
      <c r="E230" s="144">
        <v>43867</v>
      </c>
      <c r="F230" s="144" t="str">
        <f>+IFERROR(VLOOKUP(WEEKDAY(E230),Catalogo!$F$1:$G$7,2,0),"")</f>
        <v>JUEVES</v>
      </c>
      <c r="G230" s="144" t="s">
        <v>320</v>
      </c>
      <c r="H230" s="144"/>
      <c r="I230" s="144">
        <v>35</v>
      </c>
      <c r="J230" s="144"/>
      <c r="K230" s="144"/>
      <c r="L230" s="144">
        <f>SUM(Tabla1[[#This Row],[Desayuno C$ 25]:[Transporte]])</f>
        <v>35</v>
      </c>
    </row>
    <row r="231" spans="1:12" x14ac:dyDescent="0.25">
      <c r="A231" s="144">
        <v>203428</v>
      </c>
      <c r="B231" s="144" t="str">
        <f>+IFERROR(VLOOKUP(A231,Tabla2[#Data],2,0),"")</f>
        <v>FERNANDO JOSE AYALA RIOS</v>
      </c>
      <c r="C231" s="144" t="str">
        <f>+IFERROR(VLOOKUP(A231,Tabla2[#Data],3,0),"")</f>
        <v>Ayudante II M</v>
      </c>
      <c r="D231" s="144">
        <v>229</v>
      </c>
      <c r="E231" s="144">
        <v>43867</v>
      </c>
      <c r="F231" s="144" t="str">
        <f>+IFERROR(VLOOKUP(WEEKDAY(E231),Catalogo!$F$1:$G$7,2,0),"")</f>
        <v>JUEVES</v>
      </c>
      <c r="G231" s="144" t="s">
        <v>320</v>
      </c>
      <c r="H231" s="144"/>
      <c r="I231" s="144">
        <v>35</v>
      </c>
      <c r="J231" s="144"/>
      <c r="K231" s="144"/>
      <c r="L231" s="144">
        <f>SUM(Tabla1[[#This Row],[Desayuno C$ 25]:[Transporte]])</f>
        <v>35</v>
      </c>
    </row>
    <row r="232" spans="1:12" x14ac:dyDescent="0.25">
      <c r="A232" s="144">
        <v>208362</v>
      </c>
      <c r="B232" s="144" t="str">
        <f>+IFERROR(VLOOKUP(A232,Tabla2[#Data],2,0),"")</f>
        <v>PABLO JUSTINO REAL NUÑEZ</v>
      </c>
      <c r="C232" s="144" t="str">
        <f>+IFERROR(VLOOKUP(A232,Tabla2[#Data],3,0),"")</f>
        <v>Operador de Maquinaria Pesada II</v>
      </c>
      <c r="D232" s="144">
        <v>230</v>
      </c>
      <c r="E232" s="144">
        <v>43867</v>
      </c>
      <c r="F232" s="144" t="str">
        <f>+IFERROR(VLOOKUP(WEEKDAY(E232),Catalogo!$F$1:$G$7,2,0),"")</f>
        <v>JUEVES</v>
      </c>
      <c r="G232" s="144" t="s">
        <v>320</v>
      </c>
      <c r="H232" s="144"/>
      <c r="I232" s="144">
        <v>35</v>
      </c>
      <c r="J232" s="144"/>
      <c r="K232" s="144"/>
      <c r="L232" s="144">
        <f>SUM(Tabla1[[#This Row],[Desayuno C$ 25]:[Transporte]])</f>
        <v>35</v>
      </c>
    </row>
    <row r="233" spans="1:12" x14ac:dyDescent="0.25">
      <c r="A233" s="144">
        <v>213423</v>
      </c>
      <c r="B233" s="144" t="str">
        <f>+IFERROR(VLOOKUP(A233,Tabla2[#Data],2,0),"")</f>
        <v>EMILIO ZAMIR MARADIAGA OSABA</v>
      </c>
      <c r="C233" s="144" t="str">
        <f>+IFERROR(VLOOKUP(A233,Tabla2[#Data],3,0),"")</f>
        <v>Operador de Cabezal I</v>
      </c>
      <c r="D233" s="144">
        <v>231</v>
      </c>
      <c r="E233" s="144">
        <v>43867</v>
      </c>
      <c r="F233" s="144" t="str">
        <f>+IFERROR(VLOOKUP(WEEKDAY(E233),Catalogo!$F$1:$G$7,2,0),"")</f>
        <v>JUEVES</v>
      </c>
      <c r="G233" s="144" t="s">
        <v>320</v>
      </c>
      <c r="H233" s="144"/>
      <c r="I233" s="144">
        <v>35</v>
      </c>
      <c r="J233" s="144"/>
      <c r="K233" s="144"/>
      <c r="L233" s="144">
        <f>SUM(Tabla1[[#This Row],[Desayuno C$ 25]:[Transporte]])</f>
        <v>35</v>
      </c>
    </row>
    <row r="234" spans="1:12" x14ac:dyDescent="0.25">
      <c r="A234" s="144">
        <v>211419</v>
      </c>
      <c r="B234" s="144" t="str">
        <f>+IFERROR(VLOOKUP(A234,Tabla2[#Data],2,0),"")</f>
        <v>ALFREDO CESAR VALLADAREZ AGUILERA</v>
      </c>
      <c r="C234" s="144" t="str">
        <f>+IFERROR(VLOOKUP(A234,Tabla2[#Data],3,0),"")</f>
        <v>Auxiliar de patio de caña</v>
      </c>
      <c r="D234" s="144">
        <v>232</v>
      </c>
      <c r="E234" s="144">
        <v>43868</v>
      </c>
      <c r="F234" s="144" t="str">
        <f>+IFERROR(VLOOKUP(WEEKDAY(E234),Catalogo!$F$1:$G$7,2,0),"")</f>
        <v>VIERNES</v>
      </c>
      <c r="G234" s="144" t="s">
        <v>215</v>
      </c>
      <c r="H234" s="144"/>
      <c r="I234" s="144">
        <v>35</v>
      </c>
      <c r="J234" s="144"/>
      <c r="K234" s="144"/>
      <c r="L234" s="144">
        <f>SUM(Tabla1[[#This Row],[Desayuno C$ 25]:[Transporte]])</f>
        <v>35</v>
      </c>
    </row>
    <row r="235" spans="1:12" x14ac:dyDescent="0.25">
      <c r="A235" s="144">
        <v>211475</v>
      </c>
      <c r="B235" s="144" t="str">
        <f>+IFERROR(VLOOKUP(A235,Tabla2[#Data],2,0),"")</f>
        <v>FREDDYS JOSUE AGUILERA ANDRADE</v>
      </c>
      <c r="C235" s="144" t="str">
        <f>+IFERROR(VLOOKUP(A235,Tabla2[#Data],3,0),"")</f>
        <v>Auxiliar de Patio de Caña</v>
      </c>
      <c r="D235" s="144">
        <v>233</v>
      </c>
      <c r="E235" s="144">
        <v>43868</v>
      </c>
      <c r="F235" s="144" t="str">
        <f>+IFERROR(VLOOKUP(WEEKDAY(E235),Catalogo!$F$1:$G$7,2,0),"")</f>
        <v>VIERNES</v>
      </c>
      <c r="G235" s="144" t="s">
        <v>289</v>
      </c>
      <c r="H235" s="144"/>
      <c r="I235" s="144">
        <v>35</v>
      </c>
      <c r="J235" s="144"/>
      <c r="K235" s="144"/>
      <c r="L235" s="144">
        <f>SUM(Tabla1[[#This Row],[Desayuno C$ 25]:[Transporte]])</f>
        <v>35</v>
      </c>
    </row>
    <row r="236" spans="1:12" x14ac:dyDescent="0.25">
      <c r="A236" s="144">
        <v>210345</v>
      </c>
      <c r="B236" s="144" t="str">
        <f>+IFERROR(VLOOKUP(A236,Tabla2[#Data],2,0),"")</f>
        <v>ALEXANDER ALBERTO CAMPOS ESPINOZA</v>
      </c>
      <c r="C236" s="144" t="str">
        <f>+IFERROR(VLOOKUP(A236,Tabla2[#Data],3,0),"")</f>
        <v>Ayudante II M</v>
      </c>
      <c r="D236" s="144">
        <v>234</v>
      </c>
      <c r="E236" s="144">
        <v>43868</v>
      </c>
      <c r="F236" s="144" t="str">
        <f>+IFERROR(VLOOKUP(WEEKDAY(E236),Catalogo!$F$1:$G$7,2,0),"")</f>
        <v>VIERNES</v>
      </c>
      <c r="G236" s="144" t="s">
        <v>289</v>
      </c>
      <c r="H236" s="144"/>
      <c r="I236" s="144">
        <v>35</v>
      </c>
      <c r="J236" s="144"/>
      <c r="K236" s="144"/>
      <c r="L236" s="144">
        <f>SUM(Tabla1[[#This Row],[Desayuno C$ 25]:[Transporte]])</f>
        <v>35</v>
      </c>
    </row>
    <row r="237" spans="1:12" x14ac:dyDescent="0.25">
      <c r="A237" s="144">
        <v>209398</v>
      </c>
      <c r="B237" s="144" t="str">
        <f>+IFERROR(VLOOKUP(A237,Tabla2[#Data],2,0),"")</f>
        <v>KELVIN ENELSON MARADIAGA HERNANDEZ</v>
      </c>
      <c r="C237" s="144" t="str">
        <f>+IFERROR(VLOOKUP(A237,Tabla2[#Data],3,0),"")</f>
        <v>Ayudante II M</v>
      </c>
      <c r="D237" s="144">
        <v>235</v>
      </c>
      <c r="E237" s="144">
        <v>43868</v>
      </c>
      <c r="F237" s="144" t="str">
        <f>+IFERROR(VLOOKUP(WEEKDAY(E237),Catalogo!$F$1:$G$7,2,0),"")</f>
        <v>VIERNES</v>
      </c>
      <c r="G237" s="144" t="s">
        <v>320</v>
      </c>
      <c r="H237" s="144"/>
      <c r="I237" s="144">
        <v>35</v>
      </c>
      <c r="J237" s="144"/>
      <c r="K237" s="144"/>
      <c r="L237" s="144">
        <f>SUM(Tabla1[[#This Row],[Desayuno C$ 25]:[Transporte]])</f>
        <v>35</v>
      </c>
    </row>
    <row r="238" spans="1:12" x14ac:dyDescent="0.25">
      <c r="A238" s="144">
        <v>204136</v>
      </c>
      <c r="B238" s="144" t="str">
        <f>+IFERROR(VLOOKUP(A238,Tabla2[#Data],2,0),"")</f>
        <v>EDWIN JAVIER ZARATE</v>
      </c>
      <c r="C238" s="144" t="str">
        <f>+IFERROR(VLOOKUP(A238,Tabla2[#Data],3,0),"")</f>
        <v>Operador de Cabezal I</v>
      </c>
      <c r="D238" s="144">
        <v>236</v>
      </c>
      <c r="E238" s="144">
        <v>43868</v>
      </c>
      <c r="F238" s="144" t="str">
        <f>+IFERROR(VLOOKUP(WEEKDAY(E238),Catalogo!$F$1:$G$7,2,0),"")</f>
        <v>VIERNES</v>
      </c>
      <c r="G238" s="144" t="s">
        <v>217</v>
      </c>
      <c r="H238" s="144"/>
      <c r="I238" s="144">
        <v>65</v>
      </c>
      <c r="J238" s="144"/>
      <c r="K238" s="144"/>
      <c r="L238" s="144">
        <f>SUM(Tabla1[[#This Row],[Desayuno C$ 25]:[Transporte]])</f>
        <v>65</v>
      </c>
    </row>
    <row r="239" spans="1:12" x14ac:dyDescent="0.25">
      <c r="A239" s="144">
        <v>209730</v>
      </c>
      <c r="B239" s="144" t="str">
        <f>+IFERROR(VLOOKUP(A239,Tabla2[#Data],2,0),"")</f>
        <v>JULIO CESAR PADILLA GRANADO</v>
      </c>
      <c r="C239" s="144" t="str">
        <f>+IFERROR(VLOOKUP(A239,Tabla2[#Data],3,0),"")</f>
        <v>Operador de Cabezal I</v>
      </c>
      <c r="D239" s="144">
        <v>237</v>
      </c>
      <c r="E239" s="144">
        <v>43868</v>
      </c>
      <c r="F239" s="144" t="str">
        <f>+IFERROR(VLOOKUP(WEEKDAY(E239),Catalogo!$F$1:$G$7,2,0),"")</f>
        <v>VIERNES</v>
      </c>
      <c r="G239" s="144" t="s">
        <v>321</v>
      </c>
      <c r="H239" s="144"/>
      <c r="I239" s="144">
        <v>35</v>
      </c>
      <c r="J239" s="144"/>
      <c r="K239" s="144"/>
      <c r="L239" s="144">
        <f>SUM(Tabla1[[#This Row],[Desayuno C$ 25]:[Transporte]])</f>
        <v>35</v>
      </c>
    </row>
    <row r="240" spans="1:12" x14ac:dyDescent="0.25">
      <c r="A240" s="144">
        <v>206970</v>
      </c>
      <c r="B240" s="144" t="str">
        <f>+IFERROR(VLOOKUP(A240,Tabla2[#Data],2,0),"")</f>
        <v>BAYARDO ANTONIO FLORES REYES</v>
      </c>
      <c r="C240" s="144" t="str">
        <f>+IFERROR(VLOOKUP(A240,Tabla2[#Data],3,0),"")</f>
        <v>Operador de Maquinaria Pesada II</v>
      </c>
      <c r="D240" s="144">
        <v>238</v>
      </c>
      <c r="E240" s="144">
        <v>43868</v>
      </c>
      <c r="F240" s="144" t="str">
        <f>+IFERROR(VLOOKUP(WEEKDAY(E240),Catalogo!$F$1:$G$7,2,0),"")</f>
        <v>VIERNES</v>
      </c>
      <c r="G240" s="144" t="s">
        <v>320</v>
      </c>
      <c r="H240" s="144"/>
      <c r="I240" s="144">
        <v>35</v>
      </c>
      <c r="J240" s="144"/>
      <c r="K240" s="144"/>
      <c r="L240" s="144">
        <f>SUM(Tabla1[[#This Row],[Desayuno C$ 25]:[Transporte]])</f>
        <v>35</v>
      </c>
    </row>
    <row r="241" spans="1:12" x14ac:dyDescent="0.25">
      <c r="A241" s="144">
        <v>204854</v>
      </c>
      <c r="B241" s="144" t="str">
        <f>+IFERROR(VLOOKUP(A241,Tabla2[#Data],2,0),"")</f>
        <v>BENITO NUÑEZ VIDAURRE</v>
      </c>
      <c r="C241" s="144" t="str">
        <f>+IFERROR(VLOOKUP(A241,Tabla2[#Data],3,0),"")</f>
        <v>Operador de Maquinaria Pesada I</v>
      </c>
      <c r="D241" s="144">
        <v>239</v>
      </c>
      <c r="E241" s="144">
        <v>43868</v>
      </c>
      <c r="F241" s="144" t="str">
        <f>+IFERROR(VLOOKUP(WEEKDAY(E241),Catalogo!$F$1:$G$7,2,0),"")</f>
        <v>VIERNES</v>
      </c>
      <c r="G241" s="144" t="s">
        <v>320</v>
      </c>
      <c r="H241" s="144"/>
      <c r="I241" s="144">
        <v>35</v>
      </c>
      <c r="J241" s="144"/>
      <c r="K241" s="144"/>
      <c r="L241" s="144">
        <f>SUM(Tabla1[[#This Row],[Desayuno C$ 25]:[Transporte]])</f>
        <v>35</v>
      </c>
    </row>
    <row r="242" spans="1:12" x14ac:dyDescent="0.25">
      <c r="A242" s="144">
        <v>212248</v>
      </c>
      <c r="B242" s="144" t="str">
        <f>+IFERROR(VLOOKUP(A242,Tabla2[#Data],2,0),"")</f>
        <v>ERNALDO DAVID GARCIA MEZA</v>
      </c>
      <c r="C242" s="144" t="str">
        <f>+IFERROR(VLOOKUP(A242,Tabla2[#Data],3,0),"")</f>
        <v>Operador de Maquinaria Pesada II</v>
      </c>
      <c r="D242" s="144">
        <v>240</v>
      </c>
      <c r="E242" s="144">
        <v>43868</v>
      </c>
      <c r="F242" s="144" t="str">
        <f>+IFERROR(VLOOKUP(WEEKDAY(E242),Catalogo!$F$1:$G$7,2,0),"")</f>
        <v>VIERNES</v>
      </c>
      <c r="G242" s="144" t="s">
        <v>320</v>
      </c>
      <c r="H242" s="144"/>
      <c r="I242" s="144">
        <v>35</v>
      </c>
      <c r="J242" s="144"/>
      <c r="K242" s="144"/>
      <c r="L242" s="144">
        <f>SUM(Tabla1[[#This Row],[Desayuno C$ 25]:[Transporte]])</f>
        <v>35</v>
      </c>
    </row>
    <row r="243" spans="1:12" x14ac:dyDescent="0.25">
      <c r="A243" s="144">
        <v>206988</v>
      </c>
      <c r="B243" s="144" t="str">
        <f>+IFERROR(VLOOKUP(A243,Tabla2[#Data],2,0),"")</f>
        <v>EVERT FRANCISCO RAYO PINEDA</v>
      </c>
      <c r="C243" s="144" t="str">
        <f>+IFERROR(VLOOKUP(A243,Tabla2[#Data],3,0),"")</f>
        <v>Operador de Maquinaria Pesada I</v>
      </c>
      <c r="D243" s="144">
        <v>241</v>
      </c>
      <c r="E243" s="144">
        <v>43868</v>
      </c>
      <c r="F243" s="144" t="str">
        <f>+IFERROR(VLOOKUP(WEEKDAY(E243),Catalogo!$F$1:$G$7,2,0),"")</f>
        <v>VIERNES</v>
      </c>
      <c r="G243" s="144" t="s">
        <v>320</v>
      </c>
      <c r="H243" s="144"/>
      <c r="I243" s="144">
        <v>35</v>
      </c>
      <c r="J243" s="144"/>
      <c r="K243" s="144"/>
      <c r="L243" s="144">
        <f>SUM(Tabla1[[#This Row],[Desayuno C$ 25]:[Transporte]])</f>
        <v>35</v>
      </c>
    </row>
    <row r="244" spans="1:12" x14ac:dyDescent="0.25">
      <c r="A244" s="144">
        <v>202113</v>
      </c>
      <c r="B244" s="144" t="str">
        <f>+IFERROR(VLOOKUP(A244,Tabla2[#Data],2,0),"")</f>
        <v>LEONEL ISMAEL CORDOBA NARVAEZ</v>
      </c>
      <c r="C244" s="144" t="str">
        <f>+IFERROR(VLOOKUP(A244,Tabla2[#Data],3,0),"")</f>
        <v>Operador de Maquinaria Pesada III</v>
      </c>
      <c r="D244" s="144">
        <v>242</v>
      </c>
      <c r="E244" s="144">
        <v>43868</v>
      </c>
      <c r="F244" s="144" t="str">
        <f>+IFERROR(VLOOKUP(WEEKDAY(E244),Catalogo!$F$1:$G$7,2,0),"")</f>
        <v>VIERNES</v>
      </c>
      <c r="G244" s="144" t="s">
        <v>289</v>
      </c>
      <c r="H244" s="144"/>
      <c r="I244" s="144">
        <v>35</v>
      </c>
      <c r="J244" s="144"/>
      <c r="K244" s="144"/>
      <c r="L244" s="144">
        <f>SUM(Tabla1[[#This Row],[Desayuno C$ 25]:[Transporte]])</f>
        <v>35</v>
      </c>
    </row>
    <row r="245" spans="1:12" x14ac:dyDescent="0.25">
      <c r="A245" s="144">
        <v>212244</v>
      </c>
      <c r="B245" s="144" t="str">
        <f>+IFERROR(VLOOKUP(A245,Tabla2[#Data],2,0),"")</f>
        <v>LUIS MANUEL HERRERA MONDRAGON</v>
      </c>
      <c r="C245" s="144" t="str">
        <f>+IFERROR(VLOOKUP(A245,Tabla2[#Data],3,0),"")</f>
        <v>Operador de Maquinaria Pesada III</v>
      </c>
      <c r="D245" s="144">
        <v>243</v>
      </c>
      <c r="E245" s="144">
        <v>43868</v>
      </c>
      <c r="F245" s="144" t="str">
        <f>+IFERROR(VLOOKUP(WEEKDAY(E245),Catalogo!$F$1:$G$7,2,0),"")</f>
        <v>VIERNES</v>
      </c>
      <c r="G245" s="144" t="s">
        <v>320</v>
      </c>
      <c r="H245" s="144"/>
      <c r="I245" s="144">
        <v>35</v>
      </c>
      <c r="J245" s="144"/>
      <c r="K245" s="144"/>
      <c r="L245" s="144">
        <f>SUM(Tabla1[[#This Row],[Desayuno C$ 25]:[Transporte]])</f>
        <v>35</v>
      </c>
    </row>
    <row r="246" spans="1:12" x14ac:dyDescent="0.25">
      <c r="A246" s="144">
        <v>212407</v>
      </c>
      <c r="B246" s="144" t="str">
        <f>+IFERROR(VLOOKUP(A246,Tabla2[#Data],2,0),"")</f>
        <v>LEONEL ANTONIO SANTOS MARTINEZ</v>
      </c>
      <c r="C246" s="144" t="str">
        <f>+IFERROR(VLOOKUP(A246,Tabla2[#Data],3,0),"")</f>
        <v>Operador de Cabezal I</v>
      </c>
      <c r="D246" s="144">
        <v>244</v>
      </c>
      <c r="E246" s="144">
        <v>43868</v>
      </c>
      <c r="F246" s="144" t="str">
        <f>+IFERROR(VLOOKUP(WEEKDAY(E246),Catalogo!$F$1:$G$7,2,0),"")</f>
        <v>VIERNES</v>
      </c>
      <c r="G246" s="144" t="s">
        <v>320</v>
      </c>
      <c r="H246" s="144"/>
      <c r="I246" s="144">
        <v>35</v>
      </c>
      <c r="J246" s="144"/>
      <c r="K246" s="144"/>
      <c r="L246" s="144">
        <f>SUM(Tabla1[[#This Row],[Desayuno C$ 25]:[Transporte]])</f>
        <v>35</v>
      </c>
    </row>
    <row r="247" spans="1:12" x14ac:dyDescent="0.25">
      <c r="A247" s="144">
        <v>209780</v>
      </c>
      <c r="B247" s="144" t="str">
        <f>+IFERROR(VLOOKUP(A247,Tabla2[#Data],2,0),"")</f>
        <v>LUIS ADOLFO BARRERA AYALA</v>
      </c>
      <c r="C247" s="144" t="str">
        <f>+IFERROR(VLOOKUP(A247,Tabla2[#Data],3,0),"")</f>
        <v>Operador de Maquinaria Pesada III</v>
      </c>
      <c r="D247" s="144">
        <v>245</v>
      </c>
      <c r="E247" s="144">
        <v>43868</v>
      </c>
      <c r="F247" s="144" t="str">
        <f>+IFERROR(VLOOKUP(WEEKDAY(E247),Catalogo!$F$1:$G$7,2,0),"")</f>
        <v>VIERNES</v>
      </c>
      <c r="G247" s="144" t="s">
        <v>320</v>
      </c>
      <c r="H247" s="144"/>
      <c r="I247" s="144">
        <v>35</v>
      </c>
      <c r="J247" s="144"/>
      <c r="K247" s="144"/>
      <c r="L247" s="144">
        <f>SUM(Tabla1[[#This Row],[Desayuno C$ 25]:[Transporte]])</f>
        <v>35</v>
      </c>
    </row>
    <row r="248" spans="1:12" x14ac:dyDescent="0.25">
      <c r="A248" s="144">
        <v>213380</v>
      </c>
      <c r="B248" s="144" t="str">
        <f>+IFERROR(VLOOKUP(A248,Tabla2[#Data],2,0),"")</f>
        <v>GERARDO JOSE MEZA</v>
      </c>
      <c r="C248" s="144" t="str">
        <f>+IFERROR(VLOOKUP(A248,Tabla2[#Data],3,0),"")</f>
        <v>Operador de Maquinaria Pesada I</v>
      </c>
      <c r="D248" s="144">
        <v>246</v>
      </c>
      <c r="E248" s="144">
        <v>43868</v>
      </c>
      <c r="F248" s="144" t="str">
        <f>+IFERROR(VLOOKUP(WEEKDAY(E248),Catalogo!$F$1:$G$7,2,0),"")</f>
        <v>VIERNES</v>
      </c>
      <c r="G248" s="144" t="s">
        <v>320</v>
      </c>
      <c r="H248" s="144"/>
      <c r="I248" s="144">
        <v>35</v>
      </c>
      <c r="J248" s="144"/>
      <c r="K248" s="144"/>
      <c r="L248" s="144">
        <f>SUM(Tabla1[[#This Row],[Desayuno C$ 25]:[Transporte]])</f>
        <v>35</v>
      </c>
    </row>
    <row r="249" spans="1:12" x14ac:dyDescent="0.25">
      <c r="A249" s="144">
        <v>203428</v>
      </c>
      <c r="B249" s="144" t="str">
        <f>+IFERROR(VLOOKUP(A249,Tabla2[#Data],2,0),"")</f>
        <v>FERNANDO JOSE AYALA RIOS</v>
      </c>
      <c r="C249" s="144" t="str">
        <f>+IFERROR(VLOOKUP(A249,Tabla2[#Data],3,0),"")</f>
        <v>Ayudante II M</v>
      </c>
      <c r="D249" s="144">
        <v>247</v>
      </c>
      <c r="E249" s="144">
        <v>43868</v>
      </c>
      <c r="F249" s="144" t="str">
        <f>+IFERROR(VLOOKUP(WEEKDAY(E249),Catalogo!$F$1:$G$7,2,0),"")</f>
        <v>VIERNES</v>
      </c>
      <c r="G249" s="144" t="s">
        <v>320</v>
      </c>
      <c r="H249" s="144"/>
      <c r="I249" s="144">
        <v>35</v>
      </c>
      <c r="J249" s="144"/>
      <c r="K249" s="144"/>
      <c r="L249" s="144">
        <f>SUM(Tabla1[[#This Row],[Desayuno C$ 25]:[Transporte]])</f>
        <v>35</v>
      </c>
    </row>
    <row r="250" spans="1:12" x14ac:dyDescent="0.25">
      <c r="A250" s="144">
        <v>208244</v>
      </c>
      <c r="B250" s="144" t="str">
        <f>+IFERROR(VLOOKUP(A250,Tabla2[#Data],2,0),"")</f>
        <v>WILLBERTH JOSE OSORIO MERCADO</v>
      </c>
      <c r="C250" s="144" t="str">
        <f>+IFERROR(VLOOKUP(A250,Tabla2[#Data],3,0),"")</f>
        <v>Operador de Cabezal I</v>
      </c>
      <c r="D250" s="144">
        <v>248</v>
      </c>
      <c r="E250" s="144">
        <v>43855</v>
      </c>
      <c r="F250" s="144" t="str">
        <f>+IFERROR(VLOOKUP(WEEKDAY(E250),Catalogo!$F$1:$G$7,2,0),"")</f>
        <v>SÁBADO</v>
      </c>
      <c r="G250" s="144" t="s">
        <v>292</v>
      </c>
      <c r="H250" s="144"/>
      <c r="I250" s="144"/>
      <c r="J250" s="144"/>
      <c r="K250" s="144">
        <v>120</v>
      </c>
      <c r="L250" s="144">
        <f>SUM(Tabla1[[#This Row],[Desayuno C$ 25]:[Transporte]])</f>
        <v>120</v>
      </c>
    </row>
    <row r="251" spans="1:12" x14ac:dyDescent="0.25">
      <c r="A251" s="144">
        <v>208244</v>
      </c>
      <c r="B251" s="144" t="str">
        <f>+IFERROR(VLOOKUP(A251,Tabla2[#Data],2,0),"")</f>
        <v>WILLBERTH JOSE OSORIO MERCADO</v>
      </c>
      <c r="C251" s="144" t="str">
        <f>+IFERROR(VLOOKUP(A251,Tabla2[#Data],3,0),"")</f>
        <v>Operador de Cabezal I</v>
      </c>
      <c r="D251" s="144">
        <v>249</v>
      </c>
      <c r="E251" s="144">
        <v>43856</v>
      </c>
      <c r="F251" s="144" t="str">
        <f>+IFERROR(VLOOKUP(WEEKDAY(E251),Catalogo!$F$1:$G$7,2,0),"")</f>
        <v>DOMINGO</v>
      </c>
      <c r="G251" s="144" t="s">
        <v>292</v>
      </c>
      <c r="H251" s="144"/>
      <c r="I251" s="144"/>
      <c r="J251" s="144"/>
      <c r="K251" s="144">
        <v>120</v>
      </c>
      <c r="L251" s="144">
        <f>SUM(Tabla1[[#This Row],[Desayuno C$ 25]:[Transporte]])</f>
        <v>120</v>
      </c>
    </row>
    <row r="252" spans="1:12" x14ac:dyDescent="0.25">
      <c r="A252" s="144">
        <v>208244</v>
      </c>
      <c r="B252" s="144" t="str">
        <f>+IFERROR(VLOOKUP(A252,Tabla2[#Data],2,0),"")</f>
        <v>WILLBERTH JOSE OSORIO MERCADO</v>
      </c>
      <c r="C252" s="144" t="str">
        <f>+IFERROR(VLOOKUP(A252,Tabla2[#Data],3,0),"")</f>
        <v>Operador de Cabezal I</v>
      </c>
      <c r="D252" s="144">
        <v>250</v>
      </c>
      <c r="E252" s="144">
        <v>43859</v>
      </c>
      <c r="F252" s="144" t="str">
        <f>+IFERROR(VLOOKUP(WEEKDAY(E252),Catalogo!$F$1:$G$7,2,0),"")</f>
        <v>MIÉRCOLES</v>
      </c>
      <c r="G252" s="144" t="s">
        <v>292</v>
      </c>
      <c r="H252" s="144"/>
      <c r="I252" s="144"/>
      <c r="J252" s="144"/>
      <c r="K252" s="144">
        <v>120</v>
      </c>
      <c r="L252" s="144">
        <f>SUM(Tabla1[[#This Row],[Desayuno C$ 25]:[Transporte]])</f>
        <v>120</v>
      </c>
    </row>
    <row r="253" spans="1:12" x14ac:dyDescent="0.25">
      <c r="A253" s="144">
        <v>208244</v>
      </c>
      <c r="B253" s="144" t="str">
        <f>+IFERROR(VLOOKUP(A253,Tabla2[#Data],2,0),"")</f>
        <v>WILLBERTH JOSE OSORIO MERCADO</v>
      </c>
      <c r="C253" s="144" t="str">
        <f>+IFERROR(VLOOKUP(A253,Tabla2[#Data],3,0),"")</f>
        <v>Operador de Cabezal I</v>
      </c>
      <c r="D253" s="144">
        <v>251</v>
      </c>
      <c r="E253" s="144">
        <v>43860</v>
      </c>
      <c r="F253" s="144" t="str">
        <f>+IFERROR(VLOOKUP(WEEKDAY(E253),Catalogo!$F$1:$G$7,2,0),"")</f>
        <v>JUEVES</v>
      </c>
      <c r="G253" s="144" t="s">
        <v>292</v>
      </c>
      <c r="H253" s="144"/>
      <c r="I253" s="144"/>
      <c r="J253" s="144"/>
      <c r="K253" s="144">
        <v>120</v>
      </c>
      <c r="L253" s="144">
        <f>SUM(Tabla1[[#This Row],[Desayuno C$ 25]:[Transporte]])</f>
        <v>120</v>
      </c>
    </row>
    <row r="254" spans="1:12" x14ac:dyDescent="0.25">
      <c r="A254" s="144">
        <v>208244</v>
      </c>
      <c r="B254" s="144" t="str">
        <f>+IFERROR(VLOOKUP(A254,Tabla2[#Data],2,0),"")</f>
        <v>WILLBERTH JOSE OSORIO MERCADO</v>
      </c>
      <c r="C254" s="144" t="str">
        <f>+IFERROR(VLOOKUP(A254,Tabla2[#Data],3,0),"")</f>
        <v>Operador de Cabezal I</v>
      </c>
      <c r="D254" s="144">
        <v>252</v>
      </c>
      <c r="E254" s="144">
        <v>43861</v>
      </c>
      <c r="F254" s="144" t="str">
        <f>+IFERROR(VLOOKUP(WEEKDAY(E254),Catalogo!$F$1:$G$7,2,0),"")</f>
        <v>VIERNES</v>
      </c>
      <c r="G254" s="144" t="s">
        <v>292</v>
      </c>
      <c r="H254" s="144"/>
      <c r="I254" s="144"/>
      <c r="J254" s="144"/>
      <c r="K254" s="144">
        <v>120</v>
      </c>
      <c r="L254" s="144">
        <f>SUM(Tabla1[[#This Row],[Desayuno C$ 25]:[Transporte]])</f>
        <v>120</v>
      </c>
    </row>
    <row r="255" spans="1:12" x14ac:dyDescent="0.25">
      <c r="A255" s="144">
        <v>208244</v>
      </c>
      <c r="B255" s="144" t="str">
        <f>+IFERROR(VLOOKUP(A255,Tabla2[#Data],2,0),"")</f>
        <v>WILLBERTH JOSE OSORIO MERCADO</v>
      </c>
      <c r="C255" s="144" t="str">
        <f>+IFERROR(VLOOKUP(A255,Tabla2[#Data],3,0),"")</f>
        <v>Operador de Cabezal I</v>
      </c>
      <c r="D255" s="144">
        <v>253</v>
      </c>
      <c r="E255" s="144">
        <v>43862</v>
      </c>
      <c r="F255" s="144" t="str">
        <f>+IFERROR(VLOOKUP(WEEKDAY(E255),Catalogo!$F$1:$G$7,2,0),"")</f>
        <v>SÁBADO</v>
      </c>
      <c r="G255" s="144" t="s">
        <v>292</v>
      </c>
      <c r="H255" s="144"/>
      <c r="I255" s="144"/>
      <c r="J255" s="144"/>
      <c r="K255" s="144">
        <v>120</v>
      </c>
      <c r="L255" s="144">
        <f>SUM(Tabla1[[#This Row],[Desayuno C$ 25]:[Transporte]])</f>
        <v>120</v>
      </c>
    </row>
    <row r="256" spans="1:12" x14ac:dyDescent="0.25">
      <c r="A256" s="144">
        <v>208244</v>
      </c>
      <c r="B256" s="144" t="str">
        <f>+IFERROR(VLOOKUP(A256,Tabla2[#Data],2,0),"")</f>
        <v>WILLBERTH JOSE OSORIO MERCADO</v>
      </c>
      <c r="C256" s="144" t="str">
        <f>+IFERROR(VLOOKUP(A256,Tabla2[#Data],3,0),"")</f>
        <v>Operador de Cabezal I</v>
      </c>
      <c r="D256" s="144">
        <v>254</v>
      </c>
      <c r="E256" s="144">
        <v>43863</v>
      </c>
      <c r="F256" s="144" t="str">
        <f>+IFERROR(VLOOKUP(WEEKDAY(E256),Catalogo!$F$1:$G$7,2,0),"")</f>
        <v>DOMINGO</v>
      </c>
      <c r="G256" s="144" t="s">
        <v>292</v>
      </c>
      <c r="H256" s="144"/>
      <c r="I256" s="144"/>
      <c r="J256" s="144"/>
      <c r="K256" s="144">
        <v>120</v>
      </c>
      <c r="L256" s="144">
        <f>SUM(Tabla1[[#This Row],[Desayuno C$ 25]:[Transporte]])</f>
        <v>120</v>
      </c>
    </row>
    <row r="257" spans="1:12" x14ac:dyDescent="0.25">
      <c r="A257" s="144">
        <v>208244</v>
      </c>
      <c r="B257" s="144" t="str">
        <f>+IFERROR(VLOOKUP(A257,Tabla2[#Data],2,0),"")</f>
        <v>WILLBERTH JOSE OSORIO MERCADO</v>
      </c>
      <c r="C257" s="144" t="str">
        <f>+IFERROR(VLOOKUP(A257,Tabla2[#Data],3,0),"")</f>
        <v>Operador de Cabezal I</v>
      </c>
      <c r="D257" s="144">
        <v>255</v>
      </c>
      <c r="E257" s="144">
        <v>43866</v>
      </c>
      <c r="F257" s="144" t="str">
        <f>+IFERROR(VLOOKUP(WEEKDAY(E257),Catalogo!$F$1:$G$7,2,0),"")</f>
        <v>MIÉRCOLES</v>
      </c>
      <c r="G257" s="144" t="s">
        <v>292</v>
      </c>
      <c r="H257" s="144"/>
      <c r="I257" s="144"/>
      <c r="J257" s="144"/>
      <c r="K257" s="144">
        <v>120</v>
      </c>
      <c r="L257" s="144">
        <f>SUM(Tabla1[[#This Row],[Desayuno C$ 25]:[Transporte]])</f>
        <v>120</v>
      </c>
    </row>
    <row r="258" spans="1:12" x14ac:dyDescent="0.25">
      <c r="A258" s="144">
        <v>212999</v>
      </c>
      <c r="B258" s="144" t="str">
        <f>+IFERROR(VLOOKUP(A258,Tabla2[#Data],2,0),"")</f>
        <v>CARLOS ALEXANDER PINEDA RAMIREZ</v>
      </c>
      <c r="C258" s="144" t="str">
        <f>+IFERROR(VLOOKUP(A258,Tabla2[#Data],3,0),"")</f>
        <v>Operador de Cabezal I</v>
      </c>
      <c r="D258" s="144">
        <v>256</v>
      </c>
      <c r="E258" s="144">
        <v>43855</v>
      </c>
      <c r="F258" s="144" t="str">
        <f>+IFERROR(VLOOKUP(WEEKDAY(E258),Catalogo!$F$1:$G$7,2,0),"")</f>
        <v>SÁBADO</v>
      </c>
      <c r="G258" s="144" t="s">
        <v>292</v>
      </c>
      <c r="H258" s="144"/>
      <c r="I258" s="144"/>
      <c r="J258" s="144"/>
      <c r="K258" s="144">
        <v>120</v>
      </c>
      <c r="L258" s="144">
        <f>SUM(Tabla1[[#This Row],[Desayuno C$ 25]:[Transporte]])</f>
        <v>120</v>
      </c>
    </row>
    <row r="259" spans="1:12" x14ac:dyDescent="0.25">
      <c r="A259" s="144">
        <v>212999</v>
      </c>
      <c r="B259" s="144" t="str">
        <f>+IFERROR(VLOOKUP(A259,Tabla2[#Data],2,0),"")</f>
        <v>CARLOS ALEXANDER PINEDA RAMIREZ</v>
      </c>
      <c r="C259" s="144" t="str">
        <f>+IFERROR(VLOOKUP(A259,Tabla2[#Data],3,0),"")</f>
        <v>Operador de Cabezal I</v>
      </c>
      <c r="D259" s="144">
        <v>257</v>
      </c>
      <c r="E259" s="144">
        <v>43856</v>
      </c>
      <c r="F259" s="144" t="str">
        <f>+IFERROR(VLOOKUP(WEEKDAY(E259),Catalogo!$F$1:$G$7,2,0),"")</f>
        <v>DOMINGO</v>
      </c>
      <c r="G259" s="144" t="s">
        <v>292</v>
      </c>
      <c r="H259" s="144"/>
      <c r="I259" s="144"/>
      <c r="J259" s="144"/>
      <c r="K259" s="144">
        <v>120</v>
      </c>
      <c r="L259" s="144">
        <f>SUM(Tabla1[[#This Row],[Desayuno C$ 25]:[Transporte]])</f>
        <v>120</v>
      </c>
    </row>
    <row r="260" spans="1:12" x14ac:dyDescent="0.25">
      <c r="A260" s="144">
        <v>212999</v>
      </c>
      <c r="B260" s="144" t="str">
        <f>+IFERROR(VLOOKUP(A260,Tabla2[#Data],2,0),"")</f>
        <v>CARLOS ALEXANDER PINEDA RAMIREZ</v>
      </c>
      <c r="C260" s="144" t="str">
        <f>+IFERROR(VLOOKUP(A260,Tabla2[#Data],3,0),"")</f>
        <v>Operador de Cabezal I</v>
      </c>
      <c r="D260" s="144">
        <v>258</v>
      </c>
      <c r="E260" s="144">
        <v>43859</v>
      </c>
      <c r="F260" s="144" t="str">
        <f>+IFERROR(VLOOKUP(WEEKDAY(E260),Catalogo!$F$1:$G$7,2,0),"")</f>
        <v>MIÉRCOLES</v>
      </c>
      <c r="G260" s="144" t="s">
        <v>292</v>
      </c>
      <c r="H260" s="144"/>
      <c r="I260" s="144"/>
      <c r="J260" s="144"/>
      <c r="K260" s="144">
        <v>120</v>
      </c>
      <c r="L260" s="144">
        <f>SUM(Tabla1[[#This Row],[Desayuno C$ 25]:[Transporte]])</f>
        <v>120</v>
      </c>
    </row>
    <row r="261" spans="1:12" x14ac:dyDescent="0.25">
      <c r="A261" s="144">
        <v>212999</v>
      </c>
      <c r="B261" s="144" t="str">
        <f>+IFERROR(VLOOKUP(A261,Tabla2[#Data],2,0),"")</f>
        <v>CARLOS ALEXANDER PINEDA RAMIREZ</v>
      </c>
      <c r="C261" s="144" t="str">
        <f>+IFERROR(VLOOKUP(A261,Tabla2[#Data],3,0),"")</f>
        <v>Operador de Cabezal I</v>
      </c>
      <c r="D261" s="144">
        <v>259</v>
      </c>
      <c r="E261" s="144">
        <v>43860</v>
      </c>
      <c r="F261" s="144" t="str">
        <f>+IFERROR(VLOOKUP(WEEKDAY(E261),Catalogo!$F$1:$G$7,2,0),"")</f>
        <v>JUEVES</v>
      </c>
      <c r="G261" s="144" t="s">
        <v>292</v>
      </c>
      <c r="H261" s="144"/>
      <c r="I261" s="144"/>
      <c r="J261" s="144"/>
      <c r="K261" s="144">
        <v>120</v>
      </c>
      <c r="L261" s="144">
        <f>SUM(Tabla1[[#This Row],[Desayuno C$ 25]:[Transporte]])</f>
        <v>120</v>
      </c>
    </row>
    <row r="262" spans="1:12" x14ac:dyDescent="0.25">
      <c r="A262" s="144">
        <v>212999</v>
      </c>
      <c r="B262" s="144" t="str">
        <f>+IFERROR(VLOOKUP(A262,Tabla2[#Data],2,0),"")</f>
        <v>CARLOS ALEXANDER PINEDA RAMIREZ</v>
      </c>
      <c r="C262" s="144" t="str">
        <f>+IFERROR(VLOOKUP(A262,Tabla2[#Data],3,0),"")</f>
        <v>Operador de Cabezal I</v>
      </c>
      <c r="D262" s="144">
        <v>260</v>
      </c>
      <c r="E262" s="144">
        <v>43861</v>
      </c>
      <c r="F262" s="144" t="str">
        <f>+IFERROR(VLOOKUP(WEEKDAY(E262),Catalogo!$F$1:$G$7,2,0),"")</f>
        <v>VIERNES</v>
      </c>
      <c r="G262" s="144" t="s">
        <v>292</v>
      </c>
      <c r="H262" s="144"/>
      <c r="I262" s="144"/>
      <c r="J262" s="144"/>
      <c r="K262" s="144">
        <v>120</v>
      </c>
      <c r="L262" s="144">
        <f>SUM(Tabla1[[#This Row],[Desayuno C$ 25]:[Transporte]])</f>
        <v>120</v>
      </c>
    </row>
    <row r="263" spans="1:12" x14ac:dyDescent="0.25">
      <c r="A263" s="144">
        <v>212999</v>
      </c>
      <c r="B263" s="144" t="str">
        <f>+IFERROR(VLOOKUP(A263,Tabla2[#Data],2,0),"")</f>
        <v>CARLOS ALEXANDER PINEDA RAMIREZ</v>
      </c>
      <c r="C263" s="144" t="str">
        <f>+IFERROR(VLOOKUP(A263,Tabla2[#Data],3,0),"")</f>
        <v>Operador de Cabezal I</v>
      </c>
      <c r="D263" s="144">
        <v>261</v>
      </c>
      <c r="E263" s="144">
        <v>43862</v>
      </c>
      <c r="F263" s="144" t="str">
        <f>+IFERROR(VLOOKUP(WEEKDAY(E263),Catalogo!$F$1:$G$7,2,0),"")</f>
        <v>SÁBADO</v>
      </c>
      <c r="G263" s="144" t="s">
        <v>292</v>
      </c>
      <c r="H263" s="144"/>
      <c r="I263" s="144"/>
      <c r="J263" s="144"/>
      <c r="K263" s="144">
        <v>120</v>
      </c>
      <c r="L263" s="144">
        <f>SUM(Tabla1[[#This Row],[Desayuno C$ 25]:[Transporte]])</f>
        <v>120</v>
      </c>
    </row>
    <row r="264" spans="1:12" x14ac:dyDescent="0.25">
      <c r="A264" s="144">
        <v>212999</v>
      </c>
      <c r="B264" s="144" t="str">
        <f>+IFERROR(VLOOKUP(A264,Tabla2[#Data],2,0),"")</f>
        <v>CARLOS ALEXANDER PINEDA RAMIREZ</v>
      </c>
      <c r="C264" s="144" t="str">
        <f>+IFERROR(VLOOKUP(A264,Tabla2[#Data],3,0),"")</f>
        <v>Operador de Cabezal I</v>
      </c>
      <c r="D264" s="144">
        <v>262</v>
      </c>
      <c r="E264" s="144">
        <v>43863</v>
      </c>
      <c r="F264" s="144" t="str">
        <f>+IFERROR(VLOOKUP(WEEKDAY(E264),Catalogo!$F$1:$G$7,2,0),"")</f>
        <v>DOMINGO</v>
      </c>
      <c r="G264" s="144" t="s">
        <v>292</v>
      </c>
      <c r="H264" s="144"/>
      <c r="I264" s="144"/>
      <c r="J264" s="144"/>
      <c r="K264" s="144">
        <v>120</v>
      </c>
      <c r="L264" s="144">
        <f>SUM(Tabla1[[#This Row],[Desayuno C$ 25]:[Transporte]])</f>
        <v>120</v>
      </c>
    </row>
    <row r="265" spans="1:12" x14ac:dyDescent="0.25">
      <c r="A265" s="144">
        <v>212999</v>
      </c>
      <c r="B265" s="144" t="str">
        <f>+IFERROR(VLOOKUP(A265,Tabla2[#Data],2,0),"")</f>
        <v>CARLOS ALEXANDER PINEDA RAMIREZ</v>
      </c>
      <c r="C265" s="144" t="str">
        <f>+IFERROR(VLOOKUP(A265,Tabla2[#Data],3,0),"")</f>
        <v>Operador de Cabezal I</v>
      </c>
      <c r="D265" s="144">
        <v>263</v>
      </c>
      <c r="E265" s="144">
        <v>43866</v>
      </c>
      <c r="F265" s="144" t="str">
        <f>+IFERROR(VLOOKUP(WEEKDAY(E265),Catalogo!$F$1:$G$7,2,0),"")</f>
        <v>MIÉRCOLES</v>
      </c>
      <c r="G265" s="144" t="s">
        <v>292</v>
      </c>
      <c r="H265" s="144"/>
      <c r="I265" s="144"/>
      <c r="J265" s="144"/>
      <c r="K265" s="144">
        <v>120</v>
      </c>
      <c r="L265" s="144">
        <f>SUM(Tabla1[[#This Row],[Desayuno C$ 25]:[Transporte]])</f>
        <v>120</v>
      </c>
    </row>
    <row r="266" spans="1:12" x14ac:dyDescent="0.25">
      <c r="A266" s="144">
        <v>213002</v>
      </c>
      <c r="B266" s="144" t="str">
        <f>+IFERROR(VLOOKUP(A266,Tabla2[#Data],2,0),"")</f>
        <v>WILBERTH JACOBO SOMARRIBA ESPINOZA</v>
      </c>
      <c r="C266" s="144" t="str">
        <f>+IFERROR(VLOOKUP(A266,Tabla2[#Data],3,0),"")</f>
        <v>Operador de Cabezal I</v>
      </c>
      <c r="D266" s="144">
        <v>264</v>
      </c>
      <c r="E266" s="144">
        <v>43855</v>
      </c>
      <c r="F266" s="144" t="str">
        <f>+IFERROR(VLOOKUP(WEEKDAY(E266),Catalogo!$F$1:$G$7,2,0),"")</f>
        <v>SÁBADO</v>
      </c>
      <c r="G266" s="144" t="s">
        <v>292</v>
      </c>
      <c r="H266" s="144"/>
      <c r="I266" s="144"/>
      <c r="J266" s="144"/>
      <c r="K266" s="144">
        <v>120</v>
      </c>
      <c r="L266" s="144">
        <f>SUM(Tabla1[[#This Row],[Desayuno C$ 25]:[Transporte]])</f>
        <v>120</v>
      </c>
    </row>
    <row r="267" spans="1:12" x14ac:dyDescent="0.25">
      <c r="A267" s="144">
        <v>213002</v>
      </c>
      <c r="B267" s="144" t="str">
        <f>+IFERROR(VLOOKUP(A267,Tabla2[#Data],2,0),"")</f>
        <v>WILBERTH JACOBO SOMARRIBA ESPINOZA</v>
      </c>
      <c r="C267" s="144" t="str">
        <f>+IFERROR(VLOOKUP(A267,Tabla2[#Data],3,0),"")</f>
        <v>Operador de Cabezal I</v>
      </c>
      <c r="D267" s="144">
        <v>265</v>
      </c>
      <c r="E267" s="144">
        <v>43856</v>
      </c>
      <c r="F267" s="144" t="str">
        <f>+IFERROR(VLOOKUP(WEEKDAY(E267),Catalogo!$F$1:$G$7,2,0),"")</f>
        <v>DOMINGO</v>
      </c>
      <c r="G267" s="144" t="s">
        <v>292</v>
      </c>
      <c r="H267" s="144"/>
      <c r="I267" s="144"/>
      <c r="J267" s="144"/>
      <c r="K267" s="144">
        <v>120</v>
      </c>
      <c r="L267" s="144">
        <f>SUM(Tabla1[[#This Row],[Desayuno C$ 25]:[Transporte]])</f>
        <v>120</v>
      </c>
    </row>
    <row r="268" spans="1:12" x14ac:dyDescent="0.25">
      <c r="A268" s="144">
        <v>213002</v>
      </c>
      <c r="B268" s="144" t="str">
        <f>+IFERROR(VLOOKUP(A268,Tabla2[#Data],2,0),"")</f>
        <v>WILBERTH JACOBO SOMARRIBA ESPINOZA</v>
      </c>
      <c r="C268" s="144" t="str">
        <f>+IFERROR(VLOOKUP(A268,Tabla2[#Data],3,0),"")</f>
        <v>Operador de Cabezal I</v>
      </c>
      <c r="D268" s="144">
        <v>266</v>
      </c>
      <c r="E268" s="144">
        <v>43857</v>
      </c>
      <c r="F268" s="144" t="str">
        <f>+IFERROR(VLOOKUP(WEEKDAY(E268),Catalogo!$F$1:$G$7,2,0),"")</f>
        <v>LUNES</v>
      </c>
      <c r="G268" s="144" t="s">
        <v>292</v>
      </c>
      <c r="H268" s="144"/>
      <c r="I268" s="144"/>
      <c r="J268" s="144"/>
      <c r="K268" s="144">
        <v>120</v>
      </c>
      <c r="L268" s="144">
        <f>SUM(Tabla1[[#This Row],[Desayuno C$ 25]:[Transporte]])</f>
        <v>120</v>
      </c>
    </row>
    <row r="269" spans="1:12" x14ac:dyDescent="0.25">
      <c r="A269" s="144">
        <v>213002</v>
      </c>
      <c r="B269" s="144" t="str">
        <f>+IFERROR(VLOOKUP(A269,Tabla2[#Data],2,0),"")</f>
        <v>WILBERTH JACOBO SOMARRIBA ESPINOZA</v>
      </c>
      <c r="C269" s="144" t="str">
        <f>+IFERROR(VLOOKUP(A269,Tabla2[#Data],3,0),"")</f>
        <v>Operador de Cabezal I</v>
      </c>
      <c r="D269" s="144">
        <v>267</v>
      </c>
      <c r="E269" s="144">
        <v>43858</v>
      </c>
      <c r="F269" s="144" t="str">
        <f>+IFERROR(VLOOKUP(WEEKDAY(E269),Catalogo!$F$1:$G$7,2,0),"")</f>
        <v>MARTES</v>
      </c>
      <c r="G269" s="144" t="s">
        <v>292</v>
      </c>
      <c r="H269" s="144"/>
      <c r="I269" s="144"/>
      <c r="J269" s="144"/>
      <c r="K269" s="144">
        <v>120</v>
      </c>
      <c r="L269" s="144">
        <f>SUM(Tabla1[[#This Row],[Desayuno C$ 25]:[Transporte]])</f>
        <v>120</v>
      </c>
    </row>
    <row r="270" spans="1:12" x14ac:dyDescent="0.25">
      <c r="A270" s="144">
        <v>213002</v>
      </c>
      <c r="B270" s="144" t="str">
        <f>+IFERROR(VLOOKUP(A270,Tabla2[#Data],2,0),"")</f>
        <v>WILBERTH JACOBO SOMARRIBA ESPINOZA</v>
      </c>
      <c r="C270" s="144" t="str">
        <f>+IFERROR(VLOOKUP(A270,Tabla2[#Data],3,0),"")</f>
        <v>Operador de Cabezal I</v>
      </c>
      <c r="D270" s="144">
        <v>268</v>
      </c>
      <c r="E270" s="144">
        <v>43861</v>
      </c>
      <c r="F270" s="144" t="str">
        <f>+IFERROR(VLOOKUP(WEEKDAY(E270),Catalogo!$F$1:$G$7,2,0),"")</f>
        <v>VIERNES</v>
      </c>
      <c r="G270" s="144" t="s">
        <v>292</v>
      </c>
      <c r="H270" s="144"/>
      <c r="I270" s="144"/>
      <c r="J270" s="144"/>
      <c r="K270" s="144">
        <v>120</v>
      </c>
      <c r="L270" s="144">
        <f>SUM(Tabla1[[#This Row],[Desayuno C$ 25]:[Transporte]])</f>
        <v>120</v>
      </c>
    </row>
    <row r="271" spans="1:12" x14ac:dyDescent="0.25">
      <c r="A271" s="144">
        <v>213002</v>
      </c>
      <c r="B271" s="144" t="str">
        <f>+IFERROR(VLOOKUP(A271,Tabla2[#Data],2,0),"")</f>
        <v>WILBERTH JACOBO SOMARRIBA ESPINOZA</v>
      </c>
      <c r="C271" s="144" t="str">
        <f>+IFERROR(VLOOKUP(A271,Tabla2[#Data],3,0),"")</f>
        <v>Operador de Cabezal I</v>
      </c>
      <c r="D271" s="144">
        <v>269</v>
      </c>
      <c r="E271" s="144">
        <v>43862</v>
      </c>
      <c r="F271" s="144" t="str">
        <f>+IFERROR(VLOOKUP(WEEKDAY(E271),Catalogo!$F$1:$G$7,2,0),"")</f>
        <v>SÁBADO</v>
      </c>
      <c r="G271" s="144" t="s">
        <v>292</v>
      </c>
      <c r="H271" s="144"/>
      <c r="I271" s="144"/>
      <c r="J271" s="144"/>
      <c r="K271" s="144">
        <v>120</v>
      </c>
      <c r="L271" s="144">
        <f>SUM(Tabla1[[#This Row],[Desayuno C$ 25]:[Transporte]])</f>
        <v>120</v>
      </c>
    </row>
    <row r="272" spans="1:12" x14ac:dyDescent="0.25">
      <c r="A272" s="144">
        <v>213002</v>
      </c>
      <c r="B272" s="144" t="str">
        <f>+IFERROR(VLOOKUP(A272,Tabla2[#Data],2,0),"")</f>
        <v>WILBERTH JACOBO SOMARRIBA ESPINOZA</v>
      </c>
      <c r="C272" s="144" t="str">
        <f>+IFERROR(VLOOKUP(A272,Tabla2[#Data],3,0),"")</f>
        <v>Operador de Cabezal I</v>
      </c>
      <c r="D272" s="144">
        <v>270</v>
      </c>
      <c r="E272" s="144">
        <v>43863</v>
      </c>
      <c r="F272" s="144" t="str">
        <f>+IFERROR(VLOOKUP(WEEKDAY(E272),Catalogo!$F$1:$G$7,2,0),"")</f>
        <v>DOMINGO</v>
      </c>
      <c r="G272" s="144" t="s">
        <v>292</v>
      </c>
      <c r="H272" s="144"/>
      <c r="I272" s="144"/>
      <c r="J272" s="144"/>
      <c r="K272" s="144">
        <v>120</v>
      </c>
      <c r="L272" s="144">
        <f>SUM(Tabla1[[#This Row],[Desayuno C$ 25]:[Transporte]])</f>
        <v>120</v>
      </c>
    </row>
    <row r="273" spans="1:12" x14ac:dyDescent="0.25">
      <c r="A273" s="144">
        <v>213002</v>
      </c>
      <c r="B273" s="144" t="str">
        <f>+IFERROR(VLOOKUP(A273,Tabla2[#Data],2,0),"")</f>
        <v>WILBERTH JACOBO SOMARRIBA ESPINOZA</v>
      </c>
      <c r="C273" s="144" t="str">
        <f>+IFERROR(VLOOKUP(A273,Tabla2[#Data],3,0),"")</f>
        <v>Operador de Cabezal I</v>
      </c>
      <c r="D273" s="144">
        <v>271</v>
      </c>
      <c r="E273" s="144">
        <v>43864</v>
      </c>
      <c r="F273" s="144" t="str">
        <f>+IFERROR(VLOOKUP(WEEKDAY(E273),Catalogo!$F$1:$G$7,2,0),"")</f>
        <v>LUNES</v>
      </c>
      <c r="G273" s="144" t="s">
        <v>292</v>
      </c>
      <c r="H273" s="144"/>
      <c r="I273" s="144"/>
      <c r="J273" s="144"/>
      <c r="K273" s="144">
        <v>120</v>
      </c>
      <c r="L273" s="144">
        <f>SUM(Tabla1[[#This Row],[Desayuno C$ 25]:[Transporte]])</f>
        <v>120</v>
      </c>
    </row>
    <row r="274" spans="1:12" x14ac:dyDescent="0.25">
      <c r="A274" s="144">
        <v>213002</v>
      </c>
      <c r="B274" s="144" t="str">
        <f>+IFERROR(VLOOKUP(A274,Tabla2[#Data],2,0),"")</f>
        <v>WILBERTH JACOBO SOMARRIBA ESPINOZA</v>
      </c>
      <c r="C274" s="144" t="str">
        <f>+IFERROR(VLOOKUP(A274,Tabla2[#Data],3,0),"")</f>
        <v>Operador de Cabezal I</v>
      </c>
      <c r="D274" s="144">
        <v>272</v>
      </c>
      <c r="E274" s="144">
        <v>43865</v>
      </c>
      <c r="F274" s="144" t="str">
        <f>+IFERROR(VLOOKUP(WEEKDAY(E274),Catalogo!$F$1:$G$7,2,0),"")</f>
        <v>MARTES</v>
      </c>
      <c r="G274" s="144" t="s">
        <v>292</v>
      </c>
      <c r="H274" s="144"/>
      <c r="I274" s="144"/>
      <c r="J274" s="144"/>
      <c r="K274" s="144">
        <v>120</v>
      </c>
      <c r="L274" s="144">
        <f>SUM(Tabla1[[#This Row],[Desayuno C$ 25]:[Transporte]])</f>
        <v>120</v>
      </c>
    </row>
    <row r="275" spans="1:12" x14ac:dyDescent="0.25">
      <c r="A275" s="144">
        <v>212314</v>
      </c>
      <c r="B275" s="144" t="str">
        <f>+IFERROR(VLOOKUP(A275,Tabla2[#Data],2,0),"")</f>
        <v>JUAN ANIBAL CARDOZA OVIEDO</v>
      </c>
      <c r="C275" s="144" t="str">
        <f>+IFERROR(VLOOKUP(A275,Tabla2[#Data],3,0),"")</f>
        <v>Operador de Cabezal I</v>
      </c>
      <c r="D275" s="144">
        <v>273</v>
      </c>
      <c r="E275" s="144">
        <v>43855</v>
      </c>
      <c r="F275" s="144" t="str">
        <f>+IFERROR(VLOOKUP(WEEKDAY(E275),Catalogo!$F$1:$G$7,2,0),"")</f>
        <v>SÁBADO</v>
      </c>
      <c r="G275" s="144" t="s">
        <v>292</v>
      </c>
      <c r="H275" s="144"/>
      <c r="I275" s="144"/>
      <c r="J275" s="144"/>
      <c r="K275" s="144">
        <v>120</v>
      </c>
      <c r="L275" s="144">
        <f>SUM(Tabla1[[#This Row],[Desayuno C$ 25]:[Transporte]])</f>
        <v>120</v>
      </c>
    </row>
    <row r="276" spans="1:12" x14ac:dyDescent="0.25">
      <c r="A276" s="144">
        <v>212314</v>
      </c>
      <c r="B276" s="144" t="str">
        <f>+IFERROR(VLOOKUP(A276,Tabla2[#Data],2,0),"")</f>
        <v>JUAN ANIBAL CARDOZA OVIEDO</v>
      </c>
      <c r="C276" s="144" t="str">
        <f>+IFERROR(VLOOKUP(A276,Tabla2[#Data],3,0),"")</f>
        <v>Operador de Cabezal I</v>
      </c>
      <c r="D276" s="144">
        <v>274</v>
      </c>
      <c r="E276" s="144">
        <v>43856</v>
      </c>
      <c r="F276" s="144" t="str">
        <f>+IFERROR(VLOOKUP(WEEKDAY(E276),Catalogo!$F$1:$G$7,2,0),"")</f>
        <v>DOMINGO</v>
      </c>
      <c r="G276" s="144" t="s">
        <v>292</v>
      </c>
      <c r="H276" s="144"/>
      <c r="I276" s="144"/>
      <c r="J276" s="144"/>
      <c r="K276" s="144">
        <v>120</v>
      </c>
      <c r="L276" s="144">
        <f>SUM(Tabla1[[#This Row],[Desayuno C$ 25]:[Transporte]])</f>
        <v>120</v>
      </c>
    </row>
    <row r="277" spans="1:12" x14ac:dyDescent="0.25">
      <c r="A277" s="144">
        <v>212314</v>
      </c>
      <c r="B277" s="144" t="str">
        <f>+IFERROR(VLOOKUP(A277,Tabla2[#Data],2,0),"")</f>
        <v>JUAN ANIBAL CARDOZA OVIEDO</v>
      </c>
      <c r="C277" s="144" t="str">
        <f>+IFERROR(VLOOKUP(A277,Tabla2[#Data],3,0),"")</f>
        <v>Operador de Cabezal I</v>
      </c>
      <c r="D277" s="144">
        <v>275</v>
      </c>
      <c r="E277" s="144">
        <v>43857</v>
      </c>
      <c r="F277" s="144" t="str">
        <f>+IFERROR(VLOOKUP(WEEKDAY(E277),Catalogo!$F$1:$G$7,2,0),"")</f>
        <v>LUNES</v>
      </c>
      <c r="G277" s="144" t="s">
        <v>292</v>
      </c>
      <c r="H277" s="144"/>
      <c r="I277" s="144"/>
      <c r="J277" s="144"/>
      <c r="K277" s="144">
        <v>120</v>
      </c>
      <c r="L277" s="144">
        <f>SUM(Tabla1[[#This Row],[Desayuno C$ 25]:[Transporte]])</f>
        <v>120</v>
      </c>
    </row>
    <row r="278" spans="1:12" x14ac:dyDescent="0.25">
      <c r="A278" s="144">
        <v>212314</v>
      </c>
      <c r="B278" s="144" t="str">
        <f>+IFERROR(VLOOKUP(A278,Tabla2[#Data],2,0),"")</f>
        <v>JUAN ANIBAL CARDOZA OVIEDO</v>
      </c>
      <c r="C278" s="144" t="str">
        <f>+IFERROR(VLOOKUP(A278,Tabla2[#Data],3,0),"")</f>
        <v>Operador de Cabezal I</v>
      </c>
      <c r="D278" s="144">
        <v>276</v>
      </c>
      <c r="E278" s="144">
        <v>43858</v>
      </c>
      <c r="F278" s="144" t="str">
        <f>+IFERROR(VLOOKUP(WEEKDAY(E278),Catalogo!$F$1:$G$7,2,0),"")</f>
        <v>MARTES</v>
      </c>
      <c r="G278" s="144" t="s">
        <v>292</v>
      </c>
      <c r="H278" s="144"/>
      <c r="I278" s="144"/>
      <c r="J278" s="144"/>
      <c r="K278" s="144">
        <v>120</v>
      </c>
      <c r="L278" s="144">
        <f>SUM(Tabla1[[#This Row],[Desayuno C$ 25]:[Transporte]])</f>
        <v>120</v>
      </c>
    </row>
    <row r="279" spans="1:12" x14ac:dyDescent="0.25">
      <c r="A279" s="144">
        <v>212314</v>
      </c>
      <c r="B279" s="144" t="str">
        <f>+IFERROR(VLOOKUP(A279,Tabla2[#Data],2,0),"")</f>
        <v>JUAN ANIBAL CARDOZA OVIEDO</v>
      </c>
      <c r="C279" s="144" t="str">
        <f>+IFERROR(VLOOKUP(A279,Tabla2[#Data],3,0),"")</f>
        <v>Operador de Cabezal I</v>
      </c>
      <c r="D279" s="144">
        <v>277</v>
      </c>
      <c r="E279" s="144">
        <v>43861</v>
      </c>
      <c r="F279" s="144" t="str">
        <f>+IFERROR(VLOOKUP(WEEKDAY(E279),Catalogo!$F$1:$G$7,2,0),"")</f>
        <v>VIERNES</v>
      </c>
      <c r="G279" s="144" t="s">
        <v>292</v>
      </c>
      <c r="H279" s="144"/>
      <c r="I279" s="144"/>
      <c r="J279" s="144"/>
      <c r="K279" s="144">
        <v>120</v>
      </c>
      <c r="L279" s="144">
        <f>SUM(Tabla1[[#This Row],[Desayuno C$ 25]:[Transporte]])</f>
        <v>120</v>
      </c>
    </row>
    <row r="280" spans="1:12" x14ac:dyDescent="0.25">
      <c r="A280" s="144">
        <v>212314</v>
      </c>
      <c r="B280" s="144" t="str">
        <f>+IFERROR(VLOOKUP(A280,Tabla2[#Data],2,0),"")</f>
        <v>JUAN ANIBAL CARDOZA OVIEDO</v>
      </c>
      <c r="C280" s="144" t="str">
        <f>+IFERROR(VLOOKUP(A280,Tabla2[#Data],3,0),"")</f>
        <v>Operador de Cabezal I</v>
      </c>
      <c r="D280" s="144">
        <v>278</v>
      </c>
      <c r="E280" s="144">
        <v>43862</v>
      </c>
      <c r="F280" s="144" t="str">
        <f>+IFERROR(VLOOKUP(WEEKDAY(E280),Catalogo!$F$1:$G$7,2,0),"")</f>
        <v>SÁBADO</v>
      </c>
      <c r="G280" s="144" t="s">
        <v>292</v>
      </c>
      <c r="H280" s="144"/>
      <c r="I280" s="144"/>
      <c r="J280" s="144"/>
      <c r="K280" s="144">
        <v>120</v>
      </c>
      <c r="L280" s="144">
        <f>SUM(Tabla1[[#This Row],[Desayuno C$ 25]:[Transporte]])</f>
        <v>120</v>
      </c>
    </row>
    <row r="281" spans="1:12" x14ac:dyDescent="0.25">
      <c r="A281" s="144">
        <v>212314</v>
      </c>
      <c r="B281" s="144" t="str">
        <f>+IFERROR(VLOOKUP(A281,Tabla2[#Data],2,0),"")</f>
        <v>JUAN ANIBAL CARDOZA OVIEDO</v>
      </c>
      <c r="C281" s="144" t="str">
        <f>+IFERROR(VLOOKUP(A281,Tabla2[#Data],3,0),"")</f>
        <v>Operador de Cabezal I</v>
      </c>
      <c r="D281" s="144">
        <v>279</v>
      </c>
      <c r="E281" s="144">
        <v>43863</v>
      </c>
      <c r="F281" s="144" t="str">
        <f>+IFERROR(VLOOKUP(WEEKDAY(E281),Catalogo!$F$1:$G$7,2,0),"")</f>
        <v>DOMINGO</v>
      </c>
      <c r="G281" s="144" t="s">
        <v>292</v>
      </c>
      <c r="H281" s="144"/>
      <c r="I281" s="144"/>
      <c r="J281" s="144"/>
      <c r="K281" s="144">
        <v>120</v>
      </c>
      <c r="L281" s="144">
        <f>SUM(Tabla1[[#This Row],[Desayuno C$ 25]:[Transporte]])</f>
        <v>120</v>
      </c>
    </row>
    <row r="282" spans="1:12" x14ac:dyDescent="0.25">
      <c r="A282" s="144">
        <v>212314</v>
      </c>
      <c r="B282" s="144" t="str">
        <f>+IFERROR(VLOOKUP(A282,Tabla2[#Data],2,0),"")</f>
        <v>JUAN ANIBAL CARDOZA OVIEDO</v>
      </c>
      <c r="C282" s="144" t="str">
        <f>+IFERROR(VLOOKUP(A282,Tabla2[#Data],3,0),"")</f>
        <v>Operador de Cabezal I</v>
      </c>
      <c r="D282" s="144">
        <v>280</v>
      </c>
      <c r="E282" s="144">
        <v>43864</v>
      </c>
      <c r="F282" s="144" t="str">
        <f>+IFERROR(VLOOKUP(WEEKDAY(E282),Catalogo!$F$1:$G$7,2,0),"")</f>
        <v>LUNES</v>
      </c>
      <c r="G282" s="144" t="s">
        <v>292</v>
      </c>
      <c r="H282" s="144"/>
      <c r="I282" s="144"/>
      <c r="J282" s="144"/>
      <c r="K282" s="144">
        <v>120</v>
      </c>
      <c r="L282" s="144">
        <f>SUM(Tabla1[[#This Row],[Desayuno C$ 25]:[Transporte]])</f>
        <v>120</v>
      </c>
    </row>
    <row r="283" spans="1:12" x14ac:dyDescent="0.25">
      <c r="A283" s="144">
        <v>212314</v>
      </c>
      <c r="B283" s="144" t="str">
        <f>+IFERROR(VLOOKUP(A283,Tabla2[#Data],2,0),"")</f>
        <v>JUAN ANIBAL CARDOZA OVIEDO</v>
      </c>
      <c r="C283" s="144" t="str">
        <f>+IFERROR(VLOOKUP(A283,Tabla2[#Data],3,0),"")</f>
        <v>Operador de Cabezal I</v>
      </c>
      <c r="D283" s="144">
        <v>281</v>
      </c>
      <c r="E283" s="144">
        <v>43865</v>
      </c>
      <c r="F283" s="144" t="str">
        <f>+IFERROR(VLOOKUP(WEEKDAY(E283),Catalogo!$F$1:$G$7,2,0),"")</f>
        <v>MARTES</v>
      </c>
      <c r="G283" s="144" t="s">
        <v>292</v>
      </c>
      <c r="H283" s="144"/>
      <c r="I283" s="144"/>
      <c r="J283" s="144"/>
      <c r="K283" s="144">
        <v>120</v>
      </c>
      <c r="L283" s="144">
        <f>SUM(Tabla1[[#This Row],[Desayuno C$ 25]:[Transporte]])</f>
        <v>120</v>
      </c>
    </row>
    <row r="284" spans="1:12" x14ac:dyDescent="0.25">
      <c r="A284" s="144">
        <v>212620</v>
      </c>
      <c r="B284" s="144" t="str">
        <f>+IFERROR(VLOOKUP(A284,Tabla2[#Data],2,0),"")</f>
        <v>LUIS ANGEL PEREZ</v>
      </c>
      <c r="C284" s="144" t="str">
        <f>+IFERROR(VLOOKUP(A284,Tabla2[#Data],3,0),"")</f>
        <v>Operador de Cabezal I</v>
      </c>
      <c r="D284" s="144">
        <v>282</v>
      </c>
      <c r="E284" s="144">
        <v>43855</v>
      </c>
      <c r="F284" s="144" t="str">
        <f>+IFERROR(VLOOKUP(WEEKDAY(E284),Catalogo!$F$1:$G$7,2,0),"")</f>
        <v>SÁBADO</v>
      </c>
      <c r="G284" s="144" t="s">
        <v>292</v>
      </c>
      <c r="H284" s="144"/>
      <c r="I284" s="144"/>
      <c r="J284" s="144"/>
      <c r="K284" s="144">
        <v>120</v>
      </c>
      <c r="L284" s="144">
        <f>SUM(Tabla1[[#This Row],[Desayuno C$ 25]:[Transporte]])</f>
        <v>120</v>
      </c>
    </row>
    <row r="285" spans="1:12" x14ac:dyDescent="0.25">
      <c r="A285" s="144">
        <v>212620</v>
      </c>
      <c r="B285" s="144" t="str">
        <f>+IFERROR(VLOOKUP(A285,Tabla2[#Data],2,0),"")</f>
        <v>LUIS ANGEL PEREZ</v>
      </c>
      <c r="C285" s="144" t="str">
        <f>+IFERROR(VLOOKUP(A285,Tabla2[#Data],3,0),"")</f>
        <v>Operador de Cabezal I</v>
      </c>
      <c r="D285" s="144">
        <v>283</v>
      </c>
      <c r="E285" s="144">
        <v>43856</v>
      </c>
      <c r="F285" s="144" t="str">
        <f>+IFERROR(VLOOKUP(WEEKDAY(E285),Catalogo!$F$1:$G$7,2,0),"")</f>
        <v>DOMINGO</v>
      </c>
      <c r="G285" s="144" t="s">
        <v>292</v>
      </c>
      <c r="H285" s="144"/>
      <c r="I285" s="144"/>
      <c r="J285" s="144"/>
      <c r="K285" s="144">
        <v>120</v>
      </c>
      <c r="L285" s="144">
        <f>SUM(Tabla1[[#This Row],[Desayuno C$ 25]:[Transporte]])</f>
        <v>120</v>
      </c>
    </row>
    <row r="286" spans="1:12" x14ac:dyDescent="0.25">
      <c r="A286" s="144">
        <v>212620</v>
      </c>
      <c r="B286" s="144" t="str">
        <f>+IFERROR(VLOOKUP(A286,Tabla2[#Data],2,0),"")</f>
        <v>LUIS ANGEL PEREZ</v>
      </c>
      <c r="C286" s="144" t="str">
        <f>+IFERROR(VLOOKUP(A286,Tabla2[#Data],3,0),"")</f>
        <v>Operador de Cabezal I</v>
      </c>
      <c r="D286" s="144">
        <v>284</v>
      </c>
      <c r="E286" s="144">
        <v>43857</v>
      </c>
      <c r="F286" s="144" t="str">
        <f>+IFERROR(VLOOKUP(WEEKDAY(E286),Catalogo!$F$1:$G$7,2,0),"")</f>
        <v>LUNES</v>
      </c>
      <c r="G286" s="144" t="s">
        <v>292</v>
      </c>
      <c r="H286" s="144"/>
      <c r="I286" s="144"/>
      <c r="J286" s="144"/>
      <c r="K286" s="144">
        <v>120</v>
      </c>
      <c r="L286" s="144">
        <f>SUM(Tabla1[[#This Row],[Desayuno C$ 25]:[Transporte]])</f>
        <v>120</v>
      </c>
    </row>
    <row r="287" spans="1:12" x14ac:dyDescent="0.25">
      <c r="A287" s="144">
        <v>212620</v>
      </c>
      <c r="B287" s="144" t="str">
        <f>+IFERROR(VLOOKUP(A287,Tabla2[#Data],2,0),"")</f>
        <v>LUIS ANGEL PEREZ</v>
      </c>
      <c r="C287" s="144" t="str">
        <f>+IFERROR(VLOOKUP(A287,Tabla2[#Data],3,0),"")</f>
        <v>Operador de Cabezal I</v>
      </c>
      <c r="D287" s="144">
        <v>285</v>
      </c>
      <c r="E287" s="144">
        <v>43858</v>
      </c>
      <c r="F287" s="144" t="str">
        <f>+IFERROR(VLOOKUP(WEEKDAY(E287),Catalogo!$F$1:$G$7,2,0),"")</f>
        <v>MARTES</v>
      </c>
      <c r="G287" s="144" t="s">
        <v>292</v>
      </c>
      <c r="H287" s="144"/>
      <c r="I287" s="144"/>
      <c r="J287" s="144"/>
      <c r="K287" s="144">
        <v>120</v>
      </c>
      <c r="L287" s="144">
        <f>SUM(Tabla1[[#This Row],[Desayuno C$ 25]:[Transporte]])</f>
        <v>120</v>
      </c>
    </row>
    <row r="288" spans="1:12" x14ac:dyDescent="0.25">
      <c r="A288" s="144">
        <v>212620</v>
      </c>
      <c r="B288" s="144" t="str">
        <f>+IFERROR(VLOOKUP(A288,Tabla2[#Data],2,0),"")</f>
        <v>LUIS ANGEL PEREZ</v>
      </c>
      <c r="C288" s="144" t="str">
        <f>+IFERROR(VLOOKUP(A288,Tabla2[#Data],3,0),"")</f>
        <v>Operador de Cabezal I</v>
      </c>
      <c r="D288" s="144">
        <v>286</v>
      </c>
      <c r="E288" s="144">
        <v>43861</v>
      </c>
      <c r="F288" s="144" t="str">
        <f>+IFERROR(VLOOKUP(WEEKDAY(E288),Catalogo!$F$1:$G$7,2,0),"")</f>
        <v>VIERNES</v>
      </c>
      <c r="G288" s="144" t="s">
        <v>292</v>
      </c>
      <c r="H288" s="144"/>
      <c r="I288" s="144"/>
      <c r="J288" s="144"/>
      <c r="K288" s="144">
        <v>120</v>
      </c>
      <c r="L288" s="144">
        <f>SUM(Tabla1[[#This Row],[Desayuno C$ 25]:[Transporte]])</f>
        <v>120</v>
      </c>
    </row>
    <row r="289" spans="1:12" x14ac:dyDescent="0.25">
      <c r="A289" s="144">
        <v>212620</v>
      </c>
      <c r="B289" s="144" t="str">
        <f>+IFERROR(VLOOKUP(A289,Tabla2[#Data],2,0),"")</f>
        <v>LUIS ANGEL PEREZ</v>
      </c>
      <c r="C289" s="144" t="str">
        <f>+IFERROR(VLOOKUP(A289,Tabla2[#Data],3,0),"")</f>
        <v>Operador de Cabezal I</v>
      </c>
      <c r="D289" s="144">
        <v>287</v>
      </c>
      <c r="E289" s="144">
        <v>43862</v>
      </c>
      <c r="F289" s="144" t="str">
        <f>+IFERROR(VLOOKUP(WEEKDAY(E289),Catalogo!$F$1:$G$7,2,0),"")</f>
        <v>SÁBADO</v>
      </c>
      <c r="G289" s="144" t="s">
        <v>292</v>
      </c>
      <c r="H289" s="144"/>
      <c r="I289" s="144"/>
      <c r="J289" s="144"/>
      <c r="K289" s="144">
        <v>120</v>
      </c>
      <c r="L289" s="144">
        <f>SUM(Tabla1[[#This Row],[Desayuno C$ 25]:[Transporte]])</f>
        <v>120</v>
      </c>
    </row>
    <row r="290" spans="1:12" x14ac:dyDescent="0.25">
      <c r="A290" s="144">
        <v>212620</v>
      </c>
      <c r="B290" s="144" t="str">
        <f>+IFERROR(VLOOKUP(A290,Tabla2[#Data],2,0),"")</f>
        <v>LUIS ANGEL PEREZ</v>
      </c>
      <c r="C290" s="144" t="str">
        <f>+IFERROR(VLOOKUP(A290,Tabla2[#Data],3,0),"")</f>
        <v>Operador de Cabezal I</v>
      </c>
      <c r="D290" s="144">
        <v>288</v>
      </c>
      <c r="E290" s="144">
        <v>43863</v>
      </c>
      <c r="F290" s="144" t="str">
        <f>+IFERROR(VLOOKUP(WEEKDAY(E290),Catalogo!$F$1:$G$7,2,0),"")</f>
        <v>DOMINGO</v>
      </c>
      <c r="G290" s="144" t="s">
        <v>292</v>
      </c>
      <c r="H290" s="144"/>
      <c r="I290" s="144"/>
      <c r="J290" s="144"/>
      <c r="K290" s="144">
        <v>120</v>
      </c>
      <c r="L290" s="144">
        <f>SUM(Tabla1[[#This Row],[Desayuno C$ 25]:[Transporte]])</f>
        <v>120</v>
      </c>
    </row>
    <row r="291" spans="1:12" x14ac:dyDescent="0.25">
      <c r="A291" s="144">
        <v>212620</v>
      </c>
      <c r="B291" s="144" t="str">
        <f>+IFERROR(VLOOKUP(A291,Tabla2[#Data],2,0),"")</f>
        <v>LUIS ANGEL PEREZ</v>
      </c>
      <c r="C291" s="144" t="str">
        <f>+IFERROR(VLOOKUP(A291,Tabla2[#Data],3,0),"")</f>
        <v>Operador de Cabezal I</v>
      </c>
      <c r="D291" s="144">
        <v>289</v>
      </c>
      <c r="E291" s="144">
        <v>43864</v>
      </c>
      <c r="F291" s="144" t="str">
        <f>+IFERROR(VLOOKUP(WEEKDAY(E291),Catalogo!$F$1:$G$7,2,0),"")</f>
        <v>LUNES</v>
      </c>
      <c r="G291" s="144" t="s">
        <v>292</v>
      </c>
      <c r="H291" s="144"/>
      <c r="I291" s="144"/>
      <c r="J291" s="144"/>
      <c r="K291" s="144">
        <v>120</v>
      </c>
      <c r="L291" s="144">
        <f>SUM(Tabla1[[#This Row],[Desayuno C$ 25]:[Transporte]])</f>
        <v>120</v>
      </c>
    </row>
    <row r="292" spans="1:12" x14ac:dyDescent="0.25">
      <c r="A292" s="144">
        <v>212620</v>
      </c>
      <c r="B292" s="144" t="str">
        <f>+IFERROR(VLOOKUP(A292,Tabla2[#Data],2,0),"")</f>
        <v>LUIS ANGEL PEREZ</v>
      </c>
      <c r="C292" s="144" t="str">
        <f>+IFERROR(VLOOKUP(A292,Tabla2[#Data],3,0),"")</f>
        <v>Operador de Cabezal I</v>
      </c>
      <c r="D292" s="144">
        <v>290</v>
      </c>
      <c r="E292" s="144">
        <v>43865</v>
      </c>
      <c r="F292" s="144" t="str">
        <f>+IFERROR(VLOOKUP(WEEKDAY(E292),Catalogo!$F$1:$G$7,2,0),"")</f>
        <v>MARTES</v>
      </c>
      <c r="G292" s="144" t="s">
        <v>292</v>
      </c>
      <c r="H292" s="144"/>
      <c r="I292" s="144"/>
      <c r="J292" s="144"/>
      <c r="K292" s="144">
        <v>120</v>
      </c>
      <c r="L292" s="144">
        <f>SUM(Tabla1[[#This Row],[Desayuno C$ 25]:[Transporte]])</f>
        <v>120</v>
      </c>
    </row>
    <row r="293" spans="1:12" x14ac:dyDescent="0.25">
      <c r="A293" s="144">
        <v>204119</v>
      </c>
      <c r="B293" s="144" t="str">
        <f>+IFERROR(VLOOKUP(A293,Tabla2[#Data],2,0),"")</f>
        <v>ARMANDO JOSE CACERES PALMA</v>
      </c>
      <c r="C293" s="144" t="str">
        <f>+IFERROR(VLOOKUP(A293,Tabla2[#Data],3,0),"")</f>
        <v>Operador de Cabezal I</v>
      </c>
      <c r="D293" s="144">
        <v>291</v>
      </c>
      <c r="E293" s="144">
        <v>43855</v>
      </c>
      <c r="F293" s="144" t="str">
        <f>+IFERROR(VLOOKUP(WEEKDAY(E293),Catalogo!$F$1:$G$7,2,0),"")</f>
        <v>SÁBADO</v>
      </c>
      <c r="G293" s="144" t="s">
        <v>292</v>
      </c>
      <c r="H293" s="144"/>
      <c r="I293" s="144"/>
      <c r="J293" s="144"/>
      <c r="K293" s="144">
        <v>120</v>
      </c>
      <c r="L293" s="144">
        <f>SUM(Tabla1[[#This Row],[Desayuno C$ 25]:[Transporte]])</f>
        <v>120</v>
      </c>
    </row>
    <row r="294" spans="1:12" x14ac:dyDescent="0.25">
      <c r="A294" s="144">
        <v>204119</v>
      </c>
      <c r="B294" s="144" t="str">
        <f>+IFERROR(VLOOKUP(A294,Tabla2[#Data],2,0),"")</f>
        <v>ARMANDO JOSE CACERES PALMA</v>
      </c>
      <c r="C294" s="144" t="str">
        <f>+IFERROR(VLOOKUP(A294,Tabla2[#Data],3,0),"")</f>
        <v>Operador de Cabezal I</v>
      </c>
      <c r="D294" s="144">
        <v>292</v>
      </c>
      <c r="E294" s="144">
        <v>43856</v>
      </c>
      <c r="F294" s="144" t="str">
        <f>+IFERROR(VLOOKUP(WEEKDAY(E294),Catalogo!$F$1:$G$7,2,0),"")</f>
        <v>DOMINGO</v>
      </c>
      <c r="G294" s="144" t="s">
        <v>292</v>
      </c>
      <c r="H294" s="144"/>
      <c r="I294" s="144"/>
      <c r="J294" s="144"/>
      <c r="K294" s="144">
        <v>120</v>
      </c>
      <c r="L294" s="144">
        <f>SUM(Tabla1[[#This Row],[Desayuno C$ 25]:[Transporte]])</f>
        <v>120</v>
      </c>
    </row>
    <row r="295" spans="1:12" x14ac:dyDescent="0.25">
      <c r="A295" s="144">
        <v>204119</v>
      </c>
      <c r="B295" s="144" t="str">
        <f>+IFERROR(VLOOKUP(A295,Tabla2[#Data],2,0),"")</f>
        <v>ARMANDO JOSE CACERES PALMA</v>
      </c>
      <c r="C295" s="144" t="str">
        <f>+IFERROR(VLOOKUP(A295,Tabla2[#Data],3,0),"")</f>
        <v>Operador de Cabezal I</v>
      </c>
      <c r="D295" s="144">
        <v>293</v>
      </c>
      <c r="E295" s="144">
        <v>43857</v>
      </c>
      <c r="F295" s="144" t="str">
        <f>+IFERROR(VLOOKUP(WEEKDAY(E295),Catalogo!$F$1:$G$7,2,0),"")</f>
        <v>LUNES</v>
      </c>
      <c r="G295" s="144" t="s">
        <v>292</v>
      </c>
      <c r="H295" s="144"/>
      <c r="I295" s="144"/>
      <c r="J295" s="144"/>
      <c r="K295" s="144">
        <v>120</v>
      </c>
      <c r="L295" s="144">
        <f>SUM(Tabla1[[#This Row],[Desayuno C$ 25]:[Transporte]])</f>
        <v>120</v>
      </c>
    </row>
    <row r="296" spans="1:12" x14ac:dyDescent="0.25">
      <c r="A296" s="144">
        <v>204119</v>
      </c>
      <c r="B296" s="144" t="str">
        <f>+IFERROR(VLOOKUP(A296,Tabla2[#Data],2,0),"")</f>
        <v>ARMANDO JOSE CACERES PALMA</v>
      </c>
      <c r="C296" s="144" t="str">
        <f>+IFERROR(VLOOKUP(A296,Tabla2[#Data],3,0),"")</f>
        <v>Operador de Cabezal I</v>
      </c>
      <c r="D296" s="144">
        <v>294</v>
      </c>
      <c r="E296" s="144">
        <v>43858</v>
      </c>
      <c r="F296" s="144" t="str">
        <f>+IFERROR(VLOOKUP(WEEKDAY(E296),Catalogo!$F$1:$G$7,2,0),"")</f>
        <v>MARTES</v>
      </c>
      <c r="G296" s="144" t="s">
        <v>292</v>
      </c>
      <c r="H296" s="144"/>
      <c r="I296" s="144"/>
      <c r="J296" s="144"/>
      <c r="K296" s="144">
        <v>120</v>
      </c>
      <c r="L296" s="144">
        <f>SUM(Tabla1[[#This Row],[Desayuno C$ 25]:[Transporte]])</f>
        <v>120</v>
      </c>
    </row>
    <row r="297" spans="1:12" x14ac:dyDescent="0.25">
      <c r="A297" s="144">
        <v>204119</v>
      </c>
      <c r="B297" s="144" t="str">
        <f>+IFERROR(VLOOKUP(A297,Tabla2[#Data],2,0),"")</f>
        <v>ARMANDO JOSE CACERES PALMA</v>
      </c>
      <c r="C297" s="144" t="str">
        <f>+IFERROR(VLOOKUP(A297,Tabla2[#Data],3,0),"")</f>
        <v>Operador de Cabezal I</v>
      </c>
      <c r="D297" s="144">
        <v>295</v>
      </c>
      <c r="E297" s="144">
        <v>43861</v>
      </c>
      <c r="F297" s="144" t="str">
        <f>+IFERROR(VLOOKUP(WEEKDAY(E297),Catalogo!$F$1:$G$7,2,0),"")</f>
        <v>VIERNES</v>
      </c>
      <c r="G297" s="144" t="s">
        <v>292</v>
      </c>
      <c r="H297" s="144"/>
      <c r="I297" s="144"/>
      <c r="J297" s="144"/>
      <c r="K297" s="144">
        <v>120</v>
      </c>
      <c r="L297" s="144">
        <f>SUM(Tabla1[[#This Row],[Desayuno C$ 25]:[Transporte]])</f>
        <v>120</v>
      </c>
    </row>
    <row r="298" spans="1:12" x14ac:dyDescent="0.25">
      <c r="A298" s="144">
        <v>204119</v>
      </c>
      <c r="B298" s="144" t="str">
        <f>+IFERROR(VLOOKUP(A298,Tabla2[#Data],2,0),"")</f>
        <v>ARMANDO JOSE CACERES PALMA</v>
      </c>
      <c r="C298" s="144" t="str">
        <f>+IFERROR(VLOOKUP(A298,Tabla2[#Data],3,0),"")</f>
        <v>Operador de Cabezal I</v>
      </c>
      <c r="D298" s="144">
        <v>296</v>
      </c>
      <c r="E298" s="144">
        <v>43862</v>
      </c>
      <c r="F298" s="144" t="str">
        <f>+IFERROR(VLOOKUP(WEEKDAY(E298),Catalogo!$F$1:$G$7,2,0),"")</f>
        <v>SÁBADO</v>
      </c>
      <c r="G298" s="144" t="s">
        <v>292</v>
      </c>
      <c r="H298" s="144"/>
      <c r="I298" s="144"/>
      <c r="J298" s="144"/>
      <c r="K298" s="144">
        <v>120</v>
      </c>
      <c r="L298" s="144">
        <f>SUM(Tabla1[[#This Row],[Desayuno C$ 25]:[Transporte]])</f>
        <v>120</v>
      </c>
    </row>
    <row r="299" spans="1:12" x14ac:dyDescent="0.25">
      <c r="A299" s="144">
        <v>204119</v>
      </c>
      <c r="B299" s="144" t="str">
        <f>+IFERROR(VLOOKUP(A299,Tabla2[#Data],2,0),"")</f>
        <v>ARMANDO JOSE CACERES PALMA</v>
      </c>
      <c r="C299" s="144" t="str">
        <f>+IFERROR(VLOOKUP(A299,Tabla2[#Data],3,0),"")</f>
        <v>Operador de Cabezal I</v>
      </c>
      <c r="D299" s="144">
        <v>297</v>
      </c>
      <c r="E299" s="144">
        <v>43863</v>
      </c>
      <c r="F299" s="144" t="str">
        <f>+IFERROR(VLOOKUP(WEEKDAY(E299),Catalogo!$F$1:$G$7,2,0),"")</f>
        <v>DOMINGO</v>
      </c>
      <c r="G299" s="144" t="s">
        <v>292</v>
      </c>
      <c r="H299" s="144"/>
      <c r="I299" s="144"/>
      <c r="J299" s="144"/>
      <c r="K299" s="144">
        <v>120</v>
      </c>
      <c r="L299" s="144">
        <f>SUM(Tabla1[[#This Row],[Desayuno C$ 25]:[Transporte]])</f>
        <v>120</v>
      </c>
    </row>
    <row r="300" spans="1:12" x14ac:dyDescent="0.25">
      <c r="A300" s="144">
        <v>204119</v>
      </c>
      <c r="B300" s="144" t="str">
        <f>+IFERROR(VLOOKUP(A300,Tabla2[#Data],2,0),"")</f>
        <v>ARMANDO JOSE CACERES PALMA</v>
      </c>
      <c r="C300" s="144" t="str">
        <f>+IFERROR(VLOOKUP(A300,Tabla2[#Data],3,0),"")</f>
        <v>Operador de Cabezal I</v>
      </c>
      <c r="D300" s="144">
        <v>298</v>
      </c>
      <c r="E300" s="144">
        <v>43864</v>
      </c>
      <c r="F300" s="144" t="str">
        <f>+IFERROR(VLOOKUP(WEEKDAY(E300),Catalogo!$F$1:$G$7,2,0),"")</f>
        <v>LUNES</v>
      </c>
      <c r="G300" s="144" t="s">
        <v>292</v>
      </c>
      <c r="H300" s="144"/>
      <c r="I300" s="144"/>
      <c r="J300" s="144"/>
      <c r="K300" s="144">
        <v>120</v>
      </c>
      <c r="L300" s="144">
        <f>SUM(Tabla1[[#This Row],[Desayuno C$ 25]:[Transporte]])</f>
        <v>120</v>
      </c>
    </row>
    <row r="301" spans="1:12" x14ac:dyDescent="0.25">
      <c r="A301" s="144">
        <v>204119</v>
      </c>
      <c r="B301" s="144" t="str">
        <f>+IFERROR(VLOOKUP(A301,Tabla2[#Data],2,0),"")</f>
        <v>ARMANDO JOSE CACERES PALMA</v>
      </c>
      <c r="C301" s="144" t="str">
        <f>+IFERROR(VLOOKUP(A301,Tabla2[#Data],3,0),"")</f>
        <v>Operador de Cabezal I</v>
      </c>
      <c r="D301" s="144">
        <v>299</v>
      </c>
      <c r="E301" s="144">
        <v>43865</v>
      </c>
      <c r="F301" s="144" t="str">
        <f>+IFERROR(VLOOKUP(WEEKDAY(E301),Catalogo!$F$1:$G$7,2,0),"")</f>
        <v>MARTES</v>
      </c>
      <c r="G301" s="144" t="s">
        <v>292</v>
      </c>
      <c r="H301" s="144"/>
      <c r="I301" s="144"/>
      <c r="J301" s="144"/>
      <c r="K301" s="144">
        <v>120</v>
      </c>
      <c r="L301" s="144">
        <f>SUM(Tabla1[[#This Row],[Desayuno C$ 25]:[Transporte]])</f>
        <v>120</v>
      </c>
    </row>
    <row r="302" spans="1:12" x14ac:dyDescent="0.25">
      <c r="A302" s="144">
        <v>213353</v>
      </c>
      <c r="B302" s="144" t="str">
        <f>+IFERROR(VLOOKUP(A302,Tabla2[#Data],2,0),"")</f>
        <v>ELOY ANTONIO HERRERA</v>
      </c>
      <c r="C302" s="144" t="str">
        <f>+IFERROR(VLOOKUP(A302,Tabla2[#Data],3,0),"")</f>
        <v>Operador de Cabezal I</v>
      </c>
      <c r="D302" s="144">
        <v>300</v>
      </c>
      <c r="E302" s="144">
        <v>43855</v>
      </c>
      <c r="F302" s="144" t="str">
        <f>+IFERROR(VLOOKUP(WEEKDAY(E302),Catalogo!$F$1:$G$7,2,0),"")</f>
        <v>SÁBADO</v>
      </c>
      <c r="G302" s="144" t="s">
        <v>292</v>
      </c>
      <c r="H302" s="144"/>
      <c r="I302" s="144"/>
      <c r="J302" s="144"/>
      <c r="K302" s="144">
        <v>120</v>
      </c>
      <c r="L302" s="144">
        <f>SUM(Tabla1[[#This Row],[Desayuno C$ 25]:[Transporte]])</f>
        <v>120</v>
      </c>
    </row>
    <row r="303" spans="1:12" x14ac:dyDescent="0.25">
      <c r="A303" s="144">
        <v>213353</v>
      </c>
      <c r="B303" s="144" t="str">
        <f>+IFERROR(VLOOKUP(A303,Tabla2[#Data],2,0),"")</f>
        <v>ELOY ANTONIO HERRERA</v>
      </c>
      <c r="C303" s="144" t="str">
        <f>+IFERROR(VLOOKUP(A303,Tabla2[#Data],3,0),"")</f>
        <v>Operador de Cabezal I</v>
      </c>
      <c r="D303" s="144">
        <v>301</v>
      </c>
      <c r="E303" s="144">
        <v>43856</v>
      </c>
      <c r="F303" s="144" t="str">
        <f>+IFERROR(VLOOKUP(WEEKDAY(E303),Catalogo!$F$1:$G$7,2,0),"")</f>
        <v>DOMINGO</v>
      </c>
      <c r="G303" s="144" t="s">
        <v>292</v>
      </c>
      <c r="H303" s="144"/>
      <c r="I303" s="144"/>
      <c r="J303" s="144"/>
      <c r="K303" s="144">
        <v>120</v>
      </c>
      <c r="L303" s="144">
        <f>SUM(Tabla1[[#This Row],[Desayuno C$ 25]:[Transporte]])</f>
        <v>120</v>
      </c>
    </row>
    <row r="304" spans="1:12" x14ac:dyDescent="0.25">
      <c r="A304" s="144">
        <v>213353</v>
      </c>
      <c r="B304" s="144" t="str">
        <f>+IFERROR(VLOOKUP(A304,Tabla2[#Data],2,0),"")</f>
        <v>ELOY ANTONIO HERRERA</v>
      </c>
      <c r="C304" s="144" t="str">
        <f>+IFERROR(VLOOKUP(A304,Tabla2[#Data],3,0),"")</f>
        <v>Operador de Cabezal I</v>
      </c>
      <c r="D304" s="144">
        <v>302</v>
      </c>
      <c r="E304" s="144">
        <v>43857</v>
      </c>
      <c r="F304" s="144" t="str">
        <f>+IFERROR(VLOOKUP(WEEKDAY(E304),Catalogo!$F$1:$G$7,2,0),"")</f>
        <v>LUNES</v>
      </c>
      <c r="G304" s="144" t="s">
        <v>292</v>
      </c>
      <c r="H304" s="144"/>
      <c r="I304" s="144"/>
      <c r="J304" s="144"/>
      <c r="K304" s="144">
        <v>120</v>
      </c>
      <c r="L304" s="144">
        <f>SUM(Tabla1[[#This Row],[Desayuno C$ 25]:[Transporte]])</f>
        <v>120</v>
      </c>
    </row>
    <row r="305" spans="1:12" x14ac:dyDescent="0.25">
      <c r="A305" s="144">
        <v>213353</v>
      </c>
      <c r="B305" s="144" t="str">
        <f>+IFERROR(VLOOKUP(A305,Tabla2[#Data],2,0),"")</f>
        <v>ELOY ANTONIO HERRERA</v>
      </c>
      <c r="C305" s="144" t="str">
        <f>+IFERROR(VLOOKUP(A305,Tabla2[#Data],3,0),"")</f>
        <v>Operador de Cabezal I</v>
      </c>
      <c r="D305" s="144">
        <v>303</v>
      </c>
      <c r="E305" s="144">
        <v>43858</v>
      </c>
      <c r="F305" s="144" t="str">
        <f>+IFERROR(VLOOKUP(WEEKDAY(E305),Catalogo!$F$1:$G$7,2,0),"")</f>
        <v>MARTES</v>
      </c>
      <c r="G305" s="144" t="s">
        <v>292</v>
      </c>
      <c r="H305" s="144"/>
      <c r="I305" s="144"/>
      <c r="J305" s="144"/>
      <c r="K305" s="144">
        <v>120</v>
      </c>
      <c r="L305" s="144">
        <f>SUM(Tabla1[[#This Row],[Desayuno C$ 25]:[Transporte]])</f>
        <v>120</v>
      </c>
    </row>
    <row r="306" spans="1:12" x14ac:dyDescent="0.25">
      <c r="A306" s="144">
        <v>213353</v>
      </c>
      <c r="B306" s="144" t="str">
        <f>+IFERROR(VLOOKUP(A306,Tabla2[#Data],2,0),"")</f>
        <v>ELOY ANTONIO HERRERA</v>
      </c>
      <c r="C306" s="144" t="str">
        <f>+IFERROR(VLOOKUP(A306,Tabla2[#Data],3,0),"")</f>
        <v>Operador de Cabezal I</v>
      </c>
      <c r="D306" s="144">
        <v>304</v>
      </c>
      <c r="E306" s="144">
        <v>43859</v>
      </c>
      <c r="F306" s="144" t="str">
        <f>+IFERROR(VLOOKUP(WEEKDAY(E306),Catalogo!$F$1:$G$7,2,0),"")</f>
        <v>MIÉRCOLES</v>
      </c>
      <c r="G306" s="144" t="s">
        <v>292</v>
      </c>
      <c r="H306" s="144"/>
      <c r="I306" s="144"/>
      <c r="J306" s="144"/>
      <c r="K306" s="144">
        <v>120</v>
      </c>
      <c r="L306" s="144">
        <f>SUM(Tabla1[[#This Row],[Desayuno C$ 25]:[Transporte]])</f>
        <v>120</v>
      </c>
    </row>
    <row r="307" spans="1:12" x14ac:dyDescent="0.25">
      <c r="A307" s="144">
        <v>213288</v>
      </c>
      <c r="B307" s="144" t="str">
        <f>+IFERROR(VLOOKUP(A307,Tabla2[#Data],2,0),"")</f>
        <v>MANUEL ENRIQUE GUEVARA GODOY</v>
      </c>
      <c r="C307" s="144" t="str">
        <f>+IFERROR(VLOOKUP(A307,Tabla2[#Data],3,0),"")</f>
        <v>Operador de Cabezal I</v>
      </c>
      <c r="D307" s="144">
        <v>305</v>
      </c>
      <c r="E307" s="144">
        <v>43855</v>
      </c>
      <c r="F307" s="144" t="str">
        <f>+IFERROR(VLOOKUP(WEEKDAY(E307),Catalogo!$F$1:$G$7,2,0),"")</f>
        <v>SÁBADO</v>
      </c>
      <c r="G307" s="144" t="s">
        <v>292</v>
      </c>
      <c r="H307" s="144"/>
      <c r="I307" s="144"/>
      <c r="J307" s="144"/>
      <c r="K307" s="144">
        <v>120</v>
      </c>
      <c r="L307" s="144">
        <f>SUM(Tabla1[[#This Row],[Desayuno C$ 25]:[Transporte]])</f>
        <v>120</v>
      </c>
    </row>
    <row r="308" spans="1:12" x14ac:dyDescent="0.25">
      <c r="A308" s="144">
        <v>213288</v>
      </c>
      <c r="B308" s="144" t="str">
        <f>+IFERROR(VLOOKUP(A308,Tabla2[#Data],2,0),"")</f>
        <v>MANUEL ENRIQUE GUEVARA GODOY</v>
      </c>
      <c r="C308" s="144" t="str">
        <f>+IFERROR(VLOOKUP(A308,Tabla2[#Data],3,0),"")</f>
        <v>Operador de Cabezal I</v>
      </c>
      <c r="D308" s="144">
        <v>306</v>
      </c>
      <c r="E308" s="144">
        <v>43856</v>
      </c>
      <c r="F308" s="144" t="str">
        <f>+IFERROR(VLOOKUP(WEEKDAY(E308),Catalogo!$F$1:$G$7,2,0),"")</f>
        <v>DOMINGO</v>
      </c>
      <c r="G308" s="144" t="s">
        <v>292</v>
      </c>
      <c r="H308" s="144"/>
      <c r="I308" s="144"/>
      <c r="J308" s="144"/>
      <c r="K308" s="144">
        <v>120</v>
      </c>
      <c r="L308" s="144">
        <f>SUM(Tabla1[[#This Row],[Desayuno C$ 25]:[Transporte]])</f>
        <v>120</v>
      </c>
    </row>
    <row r="309" spans="1:12" x14ac:dyDescent="0.25">
      <c r="A309" s="144">
        <v>213288</v>
      </c>
      <c r="B309" s="144" t="str">
        <f>+IFERROR(VLOOKUP(A309,Tabla2[#Data],2,0),"")</f>
        <v>MANUEL ENRIQUE GUEVARA GODOY</v>
      </c>
      <c r="C309" s="144" t="str">
        <f>+IFERROR(VLOOKUP(A309,Tabla2[#Data],3,0),"")</f>
        <v>Operador de Cabezal I</v>
      </c>
      <c r="D309" s="144">
        <v>307</v>
      </c>
      <c r="E309" s="144">
        <v>43857</v>
      </c>
      <c r="F309" s="144" t="str">
        <f>+IFERROR(VLOOKUP(WEEKDAY(E309),Catalogo!$F$1:$G$7,2,0),"")</f>
        <v>LUNES</v>
      </c>
      <c r="G309" s="144" t="s">
        <v>292</v>
      </c>
      <c r="H309" s="144"/>
      <c r="I309" s="144"/>
      <c r="J309" s="144"/>
      <c r="K309" s="144">
        <v>120</v>
      </c>
      <c r="L309" s="144">
        <f>SUM(Tabla1[[#This Row],[Desayuno C$ 25]:[Transporte]])</f>
        <v>120</v>
      </c>
    </row>
    <row r="310" spans="1:12" x14ac:dyDescent="0.25">
      <c r="A310" s="144">
        <v>213288</v>
      </c>
      <c r="B310" s="144" t="str">
        <f>+IFERROR(VLOOKUP(A310,Tabla2[#Data],2,0),"")</f>
        <v>MANUEL ENRIQUE GUEVARA GODOY</v>
      </c>
      <c r="C310" s="144" t="str">
        <f>+IFERROR(VLOOKUP(A310,Tabla2[#Data],3,0),"")</f>
        <v>Operador de Cabezal I</v>
      </c>
      <c r="D310" s="144">
        <v>308</v>
      </c>
      <c r="E310" s="144">
        <v>43858</v>
      </c>
      <c r="F310" s="144" t="str">
        <f>+IFERROR(VLOOKUP(WEEKDAY(E310),Catalogo!$F$1:$G$7,2,0),"")</f>
        <v>MARTES</v>
      </c>
      <c r="G310" s="144" t="s">
        <v>292</v>
      </c>
      <c r="H310" s="144"/>
      <c r="I310" s="144"/>
      <c r="J310" s="144"/>
      <c r="K310" s="144">
        <v>120</v>
      </c>
      <c r="L310" s="144">
        <f>SUM(Tabla1[[#This Row],[Desayuno C$ 25]:[Transporte]])</f>
        <v>120</v>
      </c>
    </row>
    <row r="311" spans="1:12" x14ac:dyDescent="0.25">
      <c r="A311" s="144">
        <v>213288</v>
      </c>
      <c r="B311" s="144" t="str">
        <f>+IFERROR(VLOOKUP(A311,Tabla2[#Data],2,0),"")</f>
        <v>MANUEL ENRIQUE GUEVARA GODOY</v>
      </c>
      <c r="C311" s="144" t="str">
        <f>+IFERROR(VLOOKUP(A311,Tabla2[#Data],3,0),"")</f>
        <v>Operador de Cabezal I</v>
      </c>
      <c r="D311" s="144">
        <v>309</v>
      </c>
      <c r="E311" s="144">
        <v>43859</v>
      </c>
      <c r="F311" s="144" t="str">
        <f>+IFERROR(VLOOKUP(WEEKDAY(E311),Catalogo!$F$1:$G$7,2,0),"")</f>
        <v>MIÉRCOLES</v>
      </c>
      <c r="G311" s="144" t="s">
        <v>292</v>
      </c>
      <c r="H311" s="144"/>
      <c r="I311" s="144"/>
      <c r="J311" s="144"/>
      <c r="K311" s="144">
        <v>120</v>
      </c>
      <c r="L311" s="144">
        <f>SUM(Tabla1[[#This Row],[Desayuno C$ 25]:[Transporte]])</f>
        <v>120</v>
      </c>
    </row>
    <row r="312" spans="1:12" x14ac:dyDescent="0.25">
      <c r="A312" s="144">
        <v>202191</v>
      </c>
      <c r="B312" s="144" t="str">
        <f>+IFERROR(VLOOKUP(A312,Tabla2[#Data],2,0),"")</f>
        <v>FRANCISCO JAVIER ROMERO M.</v>
      </c>
      <c r="C312" s="144" t="str">
        <f>+IFERROR(VLOOKUP(A312,Tabla2[#Data],3,0),"")</f>
        <v>Operador de Cabezal I</v>
      </c>
      <c r="D312" s="144">
        <v>310</v>
      </c>
      <c r="E312" s="144">
        <v>43857</v>
      </c>
      <c r="F312" s="144" t="str">
        <f>+IFERROR(VLOOKUP(WEEKDAY(E312),Catalogo!$F$1:$G$7,2,0),"")</f>
        <v>LUNES</v>
      </c>
      <c r="G312" s="144" t="s">
        <v>292</v>
      </c>
      <c r="H312" s="144"/>
      <c r="I312" s="144"/>
      <c r="J312" s="144"/>
      <c r="K312" s="144">
        <v>120</v>
      </c>
      <c r="L312" s="144">
        <f>SUM(Tabla1[[#This Row],[Desayuno C$ 25]:[Transporte]])</f>
        <v>120</v>
      </c>
    </row>
    <row r="313" spans="1:12" x14ac:dyDescent="0.25">
      <c r="A313" s="144">
        <v>202191</v>
      </c>
      <c r="B313" s="144" t="str">
        <f>+IFERROR(VLOOKUP(A313,Tabla2[#Data],2,0),"")</f>
        <v>FRANCISCO JAVIER ROMERO M.</v>
      </c>
      <c r="C313" s="144" t="str">
        <f>+IFERROR(VLOOKUP(A313,Tabla2[#Data],3,0),"")</f>
        <v>Operador de Cabezal I</v>
      </c>
      <c r="D313" s="144">
        <v>311</v>
      </c>
      <c r="E313" s="144">
        <v>43858</v>
      </c>
      <c r="F313" s="144" t="str">
        <f>+IFERROR(VLOOKUP(WEEKDAY(E313),Catalogo!$F$1:$G$7,2,0),"")</f>
        <v>MARTES</v>
      </c>
      <c r="G313" s="144" t="s">
        <v>292</v>
      </c>
      <c r="H313" s="144"/>
      <c r="I313" s="144"/>
      <c r="J313" s="144"/>
      <c r="K313" s="144">
        <v>120</v>
      </c>
      <c r="L313" s="144">
        <f>SUM(Tabla1[[#This Row],[Desayuno C$ 25]:[Transporte]])</f>
        <v>120</v>
      </c>
    </row>
    <row r="314" spans="1:12" x14ac:dyDescent="0.25">
      <c r="A314" s="144">
        <v>202191</v>
      </c>
      <c r="B314" s="144" t="str">
        <f>+IFERROR(VLOOKUP(A314,Tabla2[#Data],2,0),"")</f>
        <v>FRANCISCO JAVIER ROMERO M.</v>
      </c>
      <c r="C314" s="144" t="str">
        <f>+IFERROR(VLOOKUP(A314,Tabla2[#Data],3,0),"")</f>
        <v>Operador de Cabezal I</v>
      </c>
      <c r="D314" s="144">
        <v>312</v>
      </c>
      <c r="E314" s="144">
        <v>43859</v>
      </c>
      <c r="F314" s="144" t="str">
        <f>+IFERROR(VLOOKUP(WEEKDAY(E314),Catalogo!$F$1:$G$7,2,0),"")</f>
        <v>MIÉRCOLES</v>
      </c>
      <c r="G314" s="144" t="s">
        <v>292</v>
      </c>
      <c r="H314" s="144"/>
      <c r="I314" s="144"/>
      <c r="J314" s="144"/>
      <c r="K314" s="144">
        <v>120</v>
      </c>
      <c r="L314" s="144">
        <f>SUM(Tabla1[[#This Row],[Desayuno C$ 25]:[Transporte]])</f>
        <v>120</v>
      </c>
    </row>
    <row r="315" spans="1:12" x14ac:dyDescent="0.25">
      <c r="A315" s="144">
        <v>202191</v>
      </c>
      <c r="B315" s="144" t="str">
        <f>+IFERROR(VLOOKUP(A315,Tabla2[#Data],2,0),"")</f>
        <v>FRANCISCO JAVIER ROMERO M.</v>
      </c>
      <c r="C315" s="144" t="str">
        <f>+IFERROR(VLOOKUP(A315,Tabla2[#Data],3,0),"")</f>
        <v>Operador de Cabezal I</v>
      </c>
      <c r="D315" s="144">
        <v>313</v>
      </c>
      <c r="E315" s="144">
        <v>43864</v>
      </c>
      <c r="F315" s="144" t="str">
        <f>+IFERROR(VLOOKUP(WEEKDAY(E315),Catalogo!$F$1:$G$7,2,0),"")</f>
        <v>LUNES</v>
      </c>
      <c r="G315" s="144" t="s">
        <v>292</v>
      </c>
      <c r="H315" s="144"/>
      <c r="I315" s="144"/>
      <c r="J315" s="144"/>
      <c r="K315" s="144">
        <v>120</v>
      </c>
      <c r="L315" s="144">
        <f>SUM(Tabla1[[#This Row],[Desayuno C$ 25]:[Transporte]])</f>
        <v>120</v>
      </c>
    </row>
    <row r="316" spans="1:12" x14ac:dyDescent="0.25">
      <c r="A316" s="144">
        <v>202191</v>
      </c>
      <c r="B316" s="144" t="str">
        <f>+IFERROR(VLOOKUP(A316,Tabla2[#Data],2,0),"")</f>
        <v>FRANCISCO JAVIER ROMERO M.</v>
      </c>
      <c r="C316" s="144" t="str">
        <f>+IFERROR(VLOOKUP(A316,Tabla2[#Data],3,0),"")</f>
        <v>Operador de Cabezal I</v>
      </c>
      <c r="D316" s="144">
        <v>314</v>
      </c>
      <c r="E316" s="144">
        <v>43865</v>
      </c>
      <c r="F316" s="144" t="str">
        <f>+IFERROR(VLOOKUP(WEEKDAY(E316),Catalogo!$F$1:$G$7,2,0),"")</f>
        <v>MARTES</v>
      </c>
      <c r="G316" s="144" t="s">
        <v>292</v>
      </c>
      <c r="H316" s="144"/>
      <c r="I316" s="144"/>
      <c r="J316" s="144"/>
      <c r="K316" s="144">
        <v>120</v>
      </c>
      <c r="L316" s="144">
        <f>SUM(Tabla1[[#This Row],[Desayuno C$ 25]:[Transporte]])</f>
        <v>120</v>
      </c>
    </row>
    <row r="317" spans="1:12" x14ac:dyDescent="0.25">
      <c r="A317" s="144">
        <v>202191</v>
      </c>
      <c r="B317" s="144" t="str">
        <f>+IFERROR(VLOOKUP(A317,Tabla2[#Data],2,0),"")</f>
        <v>FRANCISCO JAVIER ROMERO M.</v>
      </c>
      <c r="C317" s="144" t="str">
        <f>+IFERROR(VLOOKUP(A317,Tabla2[#Data],3,0),"")</f>
        <v>Operador de Cabezal I</v>
      </c>
      <c r="D317" s="144">
        <v>315</v>
      </c>
      <c r="E317" s="144">
        <v>43866</v>
      </c>
      <c r="F317" s="144" t="str">
        <f>+IFERROR(VLOOKUP(WEEKDAY(E317),Catalogo!$F$1:$G$7,2,0),"")</f>
        <v>MIÉRCOLES</v>
      </c>
      <c r="G317" s="144" t="s">
        <v>292</v>
      </c>
      <c r="H317" s="144"/>
      <c r="I317" s="144"/>
      <c r="J317" s="144"/>
      <c r="K317" s="144">
        <v>120</v>
      </c>
      <c r="L317" s="144">
        <f>SUM(Tabla1[[#This Row],[Desayuno C$ 25]:[Transporte]])</f>
        <v>120</v>
      </c>
    </row>
    <row r="318" spans="1:12" x14ac:dyDescent="0.25">
      <c r="A318" s="144">
        <v>213008</v>
      </c>
      <c r="B318" s="144" t="str">
        <f>+IFERROR(VLOOKUP(A318,Tabla2[#Data],2,0),"")</f>
        <v>AVENEGO MARTIN NAVARRO ROJAS</v>
      </c>
      <c r="C318" s="144" t="str">
        <f>+IFERROR(VLOOKUP(A318,Tabla2[#Data],3,0),"")</f>
        <v>Operador de Cabezal I</v>
      </c>
      <c r="D318" s="144">
        <v>316</v>
      </c>
      <c r="E318" s="144">
        <v>43857</v>
      </c>
      <c r="F318" s="144" t="str">
        <f>+IFERROR(VLOOKUP(WEEKDAY(E318),Catalogo!$F$1:$G$7,2,0),"")</f>
        <v>LUNES</v>
      </c>
      <c r="G318" s="144" t="s">
        <v>292</v>
      </c>
      <c r="H318" s="144"/>
      <c r="I318" s="144"/>
      <c r="J318" s="144"/>
      <c r="K318" s="144">
        <v>120</v>
      </c>
      <c r="L318" s="144">
        <f>SUM(Tabla1[[#This Row],[Desayuno C$ 25]:[Transporte]])</f>
        <v>120</v>
      </c>
    </row>
    <row r="319" spans="1:12" x14ac:dyDescent="0.25">
      <c r="A319" s="144">
        <v>213008</v>
      </c>
      <c r="B319" s="144" t="str">
        <f>+IFERROR(VLOOKUP(A319,Tabla2[#Data],2,0),"")</f>
        <v>AVENEGO MARTIN NAVARRO ROJAS</v>
      </c>
      <c r="C319" s="144" t="str">
        <f>+IFERROR(VLOOKUP(A319,Tabla2[#Data],3,0),"")</f>
        <v>Operador de Cabezal I</v>
      </c>
      <c r="D319" s="144">
        <v>317</v>
      </c>
      <c r="E319" s="144">
        <v>43858</v>
      </c>
      <c r="F319" s="144" t="str">
        <f>+IFERROR(VLOOKUP(WEEKDAY(E319),Catalogo!$F$1:$G$7,2,0),"")</f>
        <v>MARTES</v>
      </c>
      <c r="G319" s="144" t="s">
        <v>292</v>
      </c>
      <c r="H319" s="144"/>
      <c r="I319" s="144"/>
      <c r="J319" s="144"/>
      <c r="K319" s="144">
        <v>120</v>
      </c>
      <c r="L319" s="144">
        <f>SUM(Tabla1[[#This Row],[Desayuno C$ 25]:[Transporte]])</f>
        <v>120</v>
      </c>
    </row>
    <row r="320" spans="1:12" x14ac:dyDescent="0.25">
      <c r="A320" s="144">
        <v>213008</v>
      </c>
      <c r="B320" s="144" t="str">
        <f>+IFERROR(VLOOKUP(A320,Tabla2[#Data],2,0),"")</f>
        <v>AVENEGO MARTIN NAVARRO ROJAS</v>
      </c>
      <c r="C320" s="144" t="str">
        <f>+IFERROR(VLOOKUP(A320,Tabla2[#Data],3,0),"")</f>
        <v>Operador de Cabezal I</v>
      </c>
      <c r="D320" s="144">
        <v>318</v>
      </c>
      <c r="E320" s="144">
        <v>43859</v>
      </c>
      <c r="F320" s="144" t="str">
        <f>+IFERROR(VLOOKUP(WEEKDAY(E320),Catalogo!$F$1:$G$7,2,0),"")</f>
        <v>MIÉRCOLES</v>
      </c>
      <c r="G320" s="144" t="s">
        <v>292</v>
      </c>
      <c r="H320" s="144"/>
      <c r="I320" s="144"/>
      <c r="J320" s="144"/>
      <c r="K320" s="144">
        <v>120</v>
      </c>
      <c r="L320" s="144">
        <f>SUM(Tabla1[[#This Row],[Desayuno C$ 25]:[Transporte]])</f>
        <v>120</v>
      </c>
    </row>
    <row r="321" spans="1:12" x14ac:dyDescent="0.25">
      <c r="A321" s="144">
        <v>213008</v>
      </c>
      <c r="B321" s="144" t="str">
        <f>+IFERROR(VLOOKUP(A321,Tabla2[#Data],2,0),"")</f>
        <v>AVENEGO MARTIN NAVARRO ROJAS</v>
      </c>
      <c r="C321" s="144" t="str">
        <f>+IFERROR(VLOOKUP(A321,Tabla2[#Data],3,0),"")</f>
        <v>Operador de Cabezal I</v>
      </c>
      <c r="D321" s="144">
        <v>319</v>
      </c>
      <c r="E321" s="144">
        <v>43864</v>
      </c>
      <c r="F321" s="144" t="str">
        <f>+IFERROR(VLOOKUP(WEEKDAY(E321),Catalogo!$F$1:$G$7,2,0),"")</f>
        <v>LUNES</v>
      </c>
      <c r="G321" s="144" t="s">
        <v>292</v>
      </c>
      <c r="H321" s="144"/>
      <c r="I321" s="144"/>
      <c r="J321" s="144"/>
      <c r="K321" s="144">
        <v>120</v>
      </c>
      <c r="L321" s="144">
        <f>SUM(Tabla1[[#This Row],[Desayuno C$ 25]:[Transporte]])</f>
        <v>120</v>
      </c>
    </row>
    <row r="322" spans="1:12" x14ac:dyDescent="0.25">
      <c r="A322" s="144">
        <v>213008</v>
      </c>
      <c r="B322" s="144" t="str">
        <f>+IFERROR(VLOOKUP(A322,Tabla2[#Data],2,0),"")</f>
        <v>AVENEGO MARTIN NAVARRO ROJAS</v>
      </c>
      <c r="C322" s="144" t="str">
        <f>+IFERROR(VLOOKUP(A322,Tabla2[#Data],3,0),"")</f>
        <v>Operador de Cabezal I</v>
      </c>
      <c r="D322" s="144">
        <v>320</v>
      </c>
      <c r="E322" s="144">
        <v>43865</v>
      </c>
      <c r="F322" s="144" t="str">
        <f>+IFERROR(VLOOKUP(WEEKDAY(E322),Catalogo!$F$1:$G$7,2,0),"")</f>
        <v>MARTES</v>
      </c>
      <c r="G322" s="144" t="s">
        <v>292</v>
      </c>
      <c r="H322" s="144"/>
      <c r="I322" s="144"/>
      <c r="J322" s="144"/>
      <c r="K322" s="144">
        <v>120</v>
      </c>
      <c r="L322" s="144">
        <f>SUM(Tabla1[[#This Row],[Desayuno C$ 25]:[Transporte]])</f>
        <v>120</v>
      </c>
    </row>
    <row r="323" spans="1:12" x14ac:dyDescent="0.25">
      <c r="A323" s="144">
        <v>213008</v>
      </c>
      <c r="B323" s="144" t="str">
        <f>+IFERROR(VLOOKUP(A323,Tabla2[#Data],2,0),"")</f>
        <v>AVENEGO MARTIN NAVARRO ROJAS</v>
      </c>
      <c r="C323" s="144" t="str">
        <f>+IFERROR(VLOOKUP(A323,Tabla2[#Data],3,0),"")</f>
        <v>Operador de Cabezal I</v>
      </c>
      <c r="D323" s="144">
        <v>321</v>
      </c>
      <c r="E323" s="144">
        <v>43866</v>
      </c>
      <c r="F323" s="144" t="str">
        <f>+IFERROR(VLOOKUP(WEEKDAY(E323),Catalogo!$F$1:$G$7,2,0),"")</f>
        <v>MIÉRCOLES</v>
      </c>
      <c r="G323" s="144" t="s">
        <v>292</v>
      </c>
      <c r="H323" s="144"/>
      <c r="I323" s="144"/>
      <c r="J323" s="144"/>
      <c r="K323" s="144">
        <v>120</v>
      </c>
      <c r="L323" s="144">
        <f>SUM(Tabla1[[#This Row],[Desayuno C$ 25]:[Transporte]])</f>
        <v>120</v>
      </c>
    </row>
    <row r="324" spans="1:12" x14ac:dyDescent="0.25">
      <c r="A324" s="144">
        <v>213007</v>
      </c>
      <c r="B324" s="144" t="str">
        <f>+IFERROR(VLOOKUP(A324,Tabla2[#Data],2,0),"")</f>
        <v>GUSTAVO ANDRES MARADIAGA OSABAS</v>
      </c>
      <c r="C324" s="144" t="str">
        <f>+IFERROR(VLOOKUP(A324,Tabla2[#Data],3,0),"")</f>
        <v>Operador de Cabezal I</v>
      </c>
      <c r="D324" s="144">
        <v>322</v>
      </c>
      <c r="E324" s="144">
        <v>43860</v>
      </c>
      <c r="F324" s="144" t="str">
        <f>+IFERROR(VLOOKUP(WEEKDAY(E324),Catalogo!$F$1:$G$7,2,0),"")</f>
        <v>JUEVES</v>
      </c>
      <c r="G324" s="144" t="s">
        <v>292</v>
      </c>
      <c r="H324" s="144"/>
      <c r="I324" s="144"/>
      <c r="J324" s="144"/>
      <c r="K324" s="144">
        <v>120</v>
      </c>
      <c r="L324" s="144">
        <f>SUM(Tabla1[[#This Row],[Desayuno C$ 25]:[Transporte]])</f>
        <v>120</v>
      </c>
    </row>
    <row r="325" spans="1:12" x14ac:dyDescent="0.25">
      <c r="A325" s="144">
        <v>212998</v>
      </c>
      <c r="B325" s="144" t="str">
        <f>+IFERROR(VLOOKUP(A325,Tabla2[#Data],2,0),"")</f>
        <v>RONALDO FRANCISCO SANCHEZ ROMERO</v>
      </c>
      <c r="C325" s="144" t="str">
        <f>+IFERROR(VLOOKUP(A325,Tabla2[#Data],3,0),"")</f>
        <v>Operador de Cabezal I</v>
      </c>
      <c r="D325" s="144">
        <v>323</v>
      </c>
      <c r="E325" s="144">
        <v>43860</v>
      </c>
      <c r="F325" s="144" t="str">
        <f>+IFERROR(VLOOKUP(WEEKDAY(E325),Catalogo!$F$1:$G$7,2,0),"")</f>
        <v>JUEVES</v>
      </c>
      <c r="G325" s="144" t="s">
        <v>292</v>
      </c>
      <c r="H325" s="144"/>
      <c r="I325" s="144"/>
      <c r="J325" s="144"/>
      <c r="K325" s="144">
        <v>120</v>
      </c>
      <c r="L325" s="144">
        <f>SUM(Tabla1[[#This Row],[Desayuno C$ 25]:[Transporte]])</f>
        <v>120</v>
      </c>
    </row>
    <row r="326" spans="1:12" x14ac:dyDescent="0.25">
      <c r="A326" s="144">
        <v>212187</v>
      </c>
      <c r="B326" s="144" t="str">
        <f>+IFERROR(VLOOKUP(A326,Tabla2[#Data],2,0),"")</f>
        <v>JOSE RAMON FIGUEROA</v>
      </c>
      <c r="C326" s="144" t="str">
        <f>+IFERROR(VLOOKUP(A326,Tabla2[#Data],3,0),"")</f>
        <v>Operador de Cabezal I</v>
      </c>
      <c r="D326" s="144">
        <v>324</v>
      </c>
      <c r="E326" s="144">
        <v>43859</v>
      </c>
      <c r="F326" s="144" t="str">
        <f>+IFERROR(VLOOKUP(WEEKDAY(E326),Catalogo!$F$1:$G$7,2,0),"")</f>
        <v>MIÉRCOLES</v>
      </c>
      <c r="G326" s="144" t="s">
        <v>292</v>
      </c>
      <c r="H326" s="144"/>
      <c r="I326" s="144"/>
      <c r="J326" s="144"/>
      <c r="K326" s="144">
        <v>120</v>
      </c>
      <c r="L326" s="144">
        <f>SUM(Tabla1[[#This Row],[Desayuno C$ 25]:[Transporte]])</f>
        <v>120</v>
      </c>
    </row>
    <row r="327" spans="1:12" x14ac:dyDescent="0.25">
      <c r="A327" s="144">
        <v>212187</v>
      </c>
      <c r="B327" s="144" t="str">
        <f>+IFERROR(VLOOKUP(A327,Tabla2[#Data],2,0),"")</f>
        <v>JOSE RAMON FIGUEROA</v>
      </c>
      <c r="C327" s="144" t="str">
        <f>+IFERROR(VLOOKUP(A327,Tabla2[#Data],3,0),"")</f>
        <v>Operador de Cabezal I</v>
      </c>
      <c r="D327" s="144">
        <v>325</v>
      </c>
      <c r="E327" s="144">
        <v>43866</v>
      </c>
      <c r="F327" s="144" t="str">
        <f>+IFERROR(VLOOKUP(WEEKDAY(E327),Catalogo!$F$1:$G$7,2,0),"")</f>
        <v>MIÉRCOLES</v>
      </c>
      <c r="G327" s="144" t="s">
        <v>292</v>
      </c>
      <c r="H327" s="144"/>
      <c r="I327" s="144"/>
      <c r="J327" s="144"/>
      <c r="K327" s="144">
        <v>120</v>
      </c>
      <c r="L327" s="144">
        <f>SUM(Tabla1[[#This Row],[Desayuno C$ 25]:[Transporte]])</f>
        <v>120</v>
      </c>
    </row>
    <row r="328" spans="1:12" x14ac:dyDescent="0.25">
      <c r="A328" s="144">
        <v>203391</v>
      </c>
      <c r="B328" s="144" t="str">
        <f>+IFERROR(VLOOKUP(A328,Tabla2[#Data],2,0),"")</f>
        <v>DARIO JOSE SANTAMARIA RAMIREZ</v>
      </c>
      <c r="C328" s="144" t="str">
        <f>+IFERROR(VLOOKUP(A328,Tabla2[#Data],3,0),"")</f>
        <v>Operador de Cabezal I</v>
      </c>
      <c r="D328" s="144">
        <v>326</v>
      </c>
      <c r="E328" s="144">
        <v>43859</v>
      </c>
      <c r="F328" s="144" t="str">
        <f>+IFERROR(VLOOKUP(WEEKDAY(E328),Catalogo!$F$1:$G$7,2,0),"")</f>
        <v>MIÉRCOLES</v>
      </c>
      <c r="G328" s="144" t="s">
        <v>292</v>
      </c>
      <c r="H328" s="144"/>
      <c r="I328" s="144"/>
      <c r="J328" s="144"/>
      <c r="K328" s="144">
        <v>120</v>
      </c>
      <c r="L328" s="144">
        <f>SUM(Tabla1[[#This Row],[Desayuno C$ 25]:[Transporte]])</f>
        <v>120</v>
      </c>
    </row>
    <row r="329" spans="1:12" x14ac:dyDescent="0.25">
      <c r="A329" s="144">
        <v>203391</v>
      </c>
      <c r="B329" s="144" t="str">
        <f>+IFERROR(VLOOKUP(A329,Tabla2[#Data],2,0),"")</f>
        <v>DARIO JOSE SANTAMARIA RAMIREZ</v>
      </c>
      <c r="C329" s="144" t="str">
        <f>+IFERROR(VLOOKUP(A329,Tabla2[#Data],3,0),"")</f>
        <v>Operador de Cabezal I</v>
      </c>
      <c r="D329" s="144">
        <v>327</v>
      </c>
      <c r="E329" s="144">
        <v>43866</v>
      </c>
      <c r="F329" s="144" t="str">
        <f>+IFERROR(VLOOKUP(WEEKDAY(E329),Catalogo!$F$1:$G$7,2,0),"")</f>
        <v>MIÉRCOLES</v>
      </c>
      <c r="G329" s="144" t="s">
        <v>292</v>
      </c>
      <c r="H329" s="144"/>
      <c r="I329" s="144"/>
      <c r="J329" s="144"/>
      <c r="K329" s="144">
        <v>120</v>
      </c>
      <c r="L329" s="144">
        <f>SUM(Tabla1[[#This Row],[Desayuno C$ 25]:[Transporte]])</f>
        <v>120</v>
      </c>
    </row>
    <row r="330" spans="1:12" x14ac:dyDescent="0.25">
      <c r="A330" s="144">
        <v>212383</v>
      </c>
      <c r="B330" s="144" t="str">
        <f>+IFERROR(VLOOKUP(A330,Tabla2[#Data],2,0),"")</f>
        <v>JOSE DOMINGO TERCERO HERNANDEZ</v>
      </c>
      <c r="C330" s="144" t="str">
        <f>+IFERROR(VLOOKUP(A330,Tabla2[#Data],3,0),"")</f>
        <v>Operador de Cabezal I</v>
      </c>
      <c r="D330" s="144">
        <v>328</v>
      </c>
      <c r="E330" s="144">
        <v>43860</v>
      </c>
      <c r="F330" s="144" t="str">
        <f>+IFERROR(VLOOKUP(WEEKDAY(E330),Catalogo!$F$1:$G$7,2,0),"")</f>
        <v>JUEVES</v>
      </c>
      <c r="G330" s="144" t="s">
        <v>292</v>
      </c>
      <c r="H330" s="144"/>
      <c r="I330" s="144"/>
      <c r="J330" s="144"/>
      <c r="K330" s="144">
        <v>120</v>
      </c>
      <c r="L330" s="144">
        <f>SUM(Tabla1[[#This Row],[Desayuno C$ 25]:[Transporte]])</f>
        <v>120</v>
      </c>
    </row>
    <row r="331" spans="1:12" x14ac:dyDescent="0.25">
      <c r="A331" s="144">
        <v>212383</v>
      </c>
      <c r="B331" s="144" t="str">
        <f>+IFERROR(VLOOKUP(A331,Tabla2[#Data],2,0),"")</f>
        <v>JOSE DOMINGO TERCERO HERNANDEZ</v>
      </c>
      <c r="C331" s="144" t="str">
        <f>+IFERROR(VLOOKUP(A331,Tabla2[#Data],3,0),"")</f>
        <v>Operador de Cabezal I</v>
      </c>
      <c r="D331" s="144">
        <v>329</v>
      </c>
      <c r="E331" s="144">
        <v>43863</v>
      </c>
      <c r="F331" s="144" t="str">
        <f>+IFERROR(VLOOKUP(WEEKDAY(E331),Catalogo!$F$1:$G$7,2,0),"")</f>
        <v>DOMINGO</v>
      </c>
      <c r="G331" s="144" t="s">
        <v>292</v>
      </c>
      <c r="H331" s="144"/>
      <c r="I331" s="144"/>
      <c r="J331" s="144"/>
      <c r="K331" s="144">
        <v>120</v>
      </c>
      <c r="L331" s="144">
        <f>SUM(Tabla1[[#This Row],[Desayuno C$ 25]:[Transporte]])</f>
        <v>120</v>
      </c>
    </row>
    <row r="332" spans="1:12" x14ac:dyDescent="0.25">
      <c r="A332" s="144">
        <v>203374</v>
      </c>
      <c r="B332" s="144" t="str">
        <f>+IFERROR(VLOOKUP(A332,Tabla2[#Data],2,0),"")</f>
        <v>LUIS ANTONIO ALTAMIRANO CANDIA</v>
      </c>
      <c r="C332" s="144" t="str">
        <f>+IFERROR(VLOOKUP(A332,Tabla2[#Data],3,0),"")</f>
        <v>Ayudante II M</v>
      </c>
      <c r="D332" s="144">
        <v>330</v>
      </c>
      <c r="E332" s="144">
        <v>43856</v>
      </c>
      <c r="F332" s="144" t="str">
        <f>+IFERROR(VLOOKUP(WEEKDAY(E332),Catalogo!$F$1:$G$7,2,0),"")</f>
        <v>DOMINGO</v>
      </c>
      <c r="G332" s="144" t="s">
        <v>293</v>
      </c>
      <c r="H332" s="144"/>
      <c r="I332" s="144">
        <v>65</v>
      </c>
      <c r="J332" s="144"/>
      <c r="K332" s="144"/>
      <c r="L332" s="144">
        <f>SUM(Tabla1[[#This Row],[Desayuno C$ 25]:[Transporte]])</f>
        <v>65</v>
      </c>
    </row>
    <row r="333" spans="1:12" x14ac:dyDescent="0.25">
      <c r="A333" s="144">
        <v>211622</v>
      </c>
      <c r="B333" s="144" t="str">
        <f>+IFERROR(VLOOKUP(A333,Tabla2[#Data],2,0),"")</f>
        <v>DANIELITO SOFONIA RIVERA</v>
      </c>
      <c r="C333" s="144" t="str">
        <f>+IFERROR(VLOOKUP(A333,Tabla2[#Data],3,0),"")</f>
        <v>Ayudante II M</v>
      </c>
      <c r="D333" s="144">
        <v>331</v>
      </c>
      <c r="E333" s="144">
        <v>43856</v>
      </c>
      <c r="F333" s="144" t="str">
        <f>+IFERROR(VLOOKUP(WEEKDAY(E333),Catalogo!$F$1:$G$7,2,0),"")</f>
        <v>DOMINGO</v>
      </c>
      <c r="G333" s="144" t="s">
        <v>289</v>
      </c>
      <c r="H333" s="144"/>
      <c r="I333" s="144">
        <v>35</v>
      </c>
      <c r="J333" s="144"/>
      <c r="K333" s="144"/>
      <c r="L333" s="144">
        <f>SUM(Tabla1[[#This Row],[Desayuno C$ 25]:[Transporte]])</f>
        <v>35</v>
      </c>
    </row>
    <row r="334" spans="1:12" x14ac:dyDescent="0.25">
      <c r="A334" s="144">
        <v>203593</v>
      </c>
      <c r="B334" s="144" t="str">
        <f>+IFERROR(VLOOKUP(A334,Tabla2[#Data],2,0),"")</f>
        <v>LUIS FELIPE ALVARADO MONTES</v>
      </c>
      <c r="C334" s="144" t="str">
        <f>+IFERROR(VLOOKUP(A334,Tabla2[#Data],3,0),"")</f>
        <v>Operador de Cabezal I</v>
      </c>
      <c r="D334" s="144">
        <v>332</v>
      </c>
      <c r="E334" s="144">
        <v>43856</v>
      </c>
      <c r="F334" s="144" t="str">
        <f>+IFERROR(VLOOKUP(WEEKDAY(E334),Catalogo!$F$1:$G$7,2,0),"")</f>
        <v>DOMINGO</v>
      </c>
      <c r="G334" s="144" t="s">
        <v>296</v>
      </c>
      <c r="H334" s="144"/>
      <c r="I334" s="144">
        <v>35</v>
      </c>
      <c r="J334" s="144"/>
      <c r="K334" s="144"/>
      <c r="L334" s="144">
        <f>SUM(Tabla1[[#This Row],[Desayuno C$ 25]:[Transporte]])</f>
        <v>35</v>
      </c>
    </row>
    <row r="335" spans="1:12" x14ac:dyDescent="0.25">
      <c r="A335" s="144">
        <v>211888</v>
      </c>
      <c r="B335" s="144" t="str">
        <f>+IFERROR(VLOOKUP(A335,Tabla2[#Data],2,0),"")</f>
        <v>RICARDO ANTONIO AQUINO CHAVARRIA</v>
      </c>
      <c r="C335" s="144" t="str">
        <f>+IFERROR(VLOOKUP(A335,Tabla2[#Data],3,0),"")</f>
        <v>Ayudante II M</v>
      </c>
      <c r="D335" s="144">
        <v>333</v>
      </c>
      <c r="E335" s="144">
        <v>43888</v>
      </c>
      <c r="F335" s="144" t="str">
        <f>+IFERROR(VLOOKUP(WEEKDAY(E335),Catalogo!$F$1:$G$7,2,0),"")</f>
        <v>JUEVES</v>
      </c>
      <c r="G335" s="144" t="s">
        <v>293</v>
      </c>
      <c r="H335" s="144"/>
      <c r="I335" s="144">
        <v>65</v>
      </c>
      <c r="J335" s="144"/>
      <c r="K335" s="144"/>
      <c r="L335" s="144">
        <f>SUM(Tabla1[[#This Row],[Desayuno C$ 25]:[Transporte]])</f>
        <v>65</v>
      </c>
    </row>
    <row r="336" spans="1:12" x14ac:dyDescent="0.25">
      <c r="A336" s="144">
        <v>204784</v>
      </c>
      <c r="B336" s="144" t="str">
        <f>+IFERROR(VLOOKUP(A336,Tabla2[#Data],2,0),"")</f>
        <v>ELVER ANTONIO SOMARRIBA CHAVARRIA</v>
      </c>
      <c r="C336" s="144" t="str">
        <f>+IFERROR(VLOOKUP(A336,Tabla2[#Data],3,0),"")</f>
        <v>Ayudante II M</v>
      </c>
      <c r="D336" s="144">
        <v>334</v>
      </c>
      <c r="E336" s="144">
        <v>43888</v>
      </c>
      <c r="F336" s="144" t="str">
        <f>+IFERROR(VLOOKUP(WEEKDAY(E336),Catalogo!$F$1:$G$7,2,0),"")</f>
        <v>JUEVES</v>
      </c>
      <c r="G336" s="144" t="s">
        <v>290</v>
      </c>
      <c r="H336" s="144"/>
      <c r="I336" s="144">
        <v>35</v>
      </c>
      <c r="J336" s="144"/>
      <c r="K336" s="144"/>
      <c r="L336" s="144">
        <f>SUM(Tabla1[[#This Row],[Desayuno C$ 25]:[Transporte]])</f>
        <v>35</v>
      </c>
    </row>
    <row r="337" spans="1:12" x14ac:dyDescent="0.25">
      <c r="A337" s="144">
        <v>213030</v>
      </c>
      <c r="B337" s="144" t="str">
        <f>+IFERROR(VLOOKUP(A337,Tabla2[#Data],2,0),"")</f>
        <v>NELSON JOSE NAVAS IZAGUIRRE</v>
      </c>
      <c r="C337" s="144" t="str">
        <f>+IFERROR(VLOOKUP(A337,Tabla2[#Data],3,0),"")</f>
        <v>Ayudante II M</v>
      </c>
      <c r="D337" s="144">
        <v>335</v>
      </c>
      <c r="E337" s="144">
        <v>43888</v>
      </c>
      <c r="F337" s="144" t="str">
        <f>+IFERROR(VLOOKUP(WEEKDAY(E337),Catalogo!$F$1:$G$7,2,0),"")</f>
        <v>JUEVES</v>
      </c>
      <c r="G337" s="144" t="s">
        <v>290</v>
      </c>
      <c r="H337" s="144"/>
      <c r="I337" s="144">
        <v>35</v>
      </c>
      <c r="J337" s="144"/>
      <c r="K337" s="144"/>
      <c r="L337" s="144">
        <f>SUM(Tabla1[[#This Row],[Desayuno C$ 25]:[Transporte]])</f>
        <v>35</v>
      </c>
    </row>
    <row r="338" spans="1:12" x14ac:dyDescent="0.25">
      <c r="A338" s="144">
        <v>201130</v>
      </c>
      <c r="B338" s="144" t="str">
        <f>+IFERROR(VLOOKUP(A338,Tabla2[#Data],2,0),"")</f>
        <v>JUAN MANUEL CARRASCO</v>
      </c>
      <c r="C338" s="144" t="str">
        <f>+IFERROR(VLOOKUP(A338,Tabla2[#Data],3,0),"")</f>
        <v>Ayudante II M</v>
      </c>
      <c r="D338" s="144">
        <v>336</v>
      </c>
      <c r="E338" s="144">
        <v>43888</v>
      </c>
      <c r="F338" s="144" t="str">
        <f>+IFERROR(VLOOKUP(WEEKDAY(E338),Catalogo!$F$1:$G$7,2,0),"")</f>
        <v>JUEVES</v>
      </c>
      <c r="G338" s="144" t="s">
        <v>293</v>
      </c>
      <c r="H338" s="144"/>
      <c r="I338" s="144">
        <v>65</v>
      </c>
      <c r="J338" s="144"/>
      <c r="K338" s="144"/>
      <c r="L338" s="144">
        <f>SUM(Tabla1[[#This Row],[Desayuno C$ 25]:[Transporte]])</f>
        <v>65</v>
      </c>
    </row>
    <row r="339" spans="1:12" x14ac:dyDescent="0.25">
      <c r="A339" s="144">
        <v>209508</v>
      </c>
      <c r="B339" s="144" t="str">
        <f>+IFERROR(VLOOKUP(A339,Tabla2[#Data],2,0),"")</f>
        <v>ERNESTO GREGORIO RIOS URBINA</v>
      </c>
      <c r="C339" s="144" t="str">
        <f>+IFERROR(VLOOKUP(A339,Tabla2[#Data],3,0),"")</f>
        <v>Ayudante II M</v>
      </c>
      <c r="D339" s="144">
        <v>337</v>
      </c>
      <c r="E339" s="144">
        <v>43888</v>
      </c>
      <c r="F339" s="144" t="str">
        <f>+IFERROR(VLOOKUP(WEEKDAY(E339),Catalogo!$F$1:$G$7,2,0),"")</f>
        <v>JUEVES</v>
      </c>
      <c r="G339" s="144" t="s">
        <v>291</v>
      </c>
      <c r="H339" s="144"/>
      <c r="I339" s="144">
        <v>35</v>
      </c>
      <c r="J339" s="144"/>
      <c r="K339" s="144"/>
      <c r="L339" s="144">
        <f>SUM(Tabla1[[#This Row],[Desayuno C$ 25]:[Transporte]])</f>
        <v>35</v>
      </c>
    </row>
    <row r="340" spans="1:12" x14ac:dyDescent="0.25">
      <c r="A340" s="144">
        <v>213021</v>
      </c>
      <c r="B340" s="144" t="str">
        <f>+IFERROR(VLOOKUP(A340,Tabla2[#Data],2,0),"")</f>
        <v>BRAYAN ANTONIO SEQUEIRA RAMIREZ</v>
      </c>
      <c r="C340" s="144" t="str">
        <f>+IFERROR(VLOOKUP(A340,Tabla2[#Data],3,0),"")</f>
        <v>Ayudante II M</v>
      </c>
      <c r="D340" s="144">
        <v>338</v>
      </c>
      <c r="E340" s="144">
        <v>43888</v>
      </c>
      <c r="F340" s="144" t="str">
        <f>+IFERROR(VLOOKUP(WEEKDAY(E340),Catalogo!$F$1:$G$7,2,0),"")</f>
        <v>JUEVES</v>
      </c>
      <c r="G340" s="144" t="s">
        <v>290</v>
      </c>
      <c r="H340" s="144"/>
      <c r="I340" s="144">
        <v>35</v>
      </c>
      <c r="J340" s="144"/>
      <c r="K340" s="144"/>
      <c r="L340" s="144">
        <f>SUM(Tabla1[[#This Row],[Desayuno C$ 25]:[Transporte]])</f>
        <v>35</v>
      </c>
    </row>
    <row r="341" spans="1:12" x14ac:dyDescent="0.25">
      <c r="A341" s="144">
        <v>213027</v>
      </c>
      <c r="B341" s="144" t="str">
        <f>+IFERROR(VLOOKUP(A341,Tabla2[#Data],2,0),"")</f>
        <v>ERICK ADAN ROJAS GUEVARA</v>
      </c>
      <c r="C341" s="144" t="str">
        <f>+IFERROR(VLOOKUP(A341,Tabla2[#Data],3,0),"")</f>
        <v>Ayudante II M</v>
      </c>
      <c r="D341" s="144">
        <v>339</v>
      </c>
      <c r="E341" s="144">
        <v>43888</v>
      </c>
      <c r="F341" s="144" t="str">
        <f>+IFERROR(VLOOKUP(WEEKDAY(E341),Catalogo!$F$1:$G$7,2,0),"")</f>
        <v>JUEVES</v>
      </c>
      <c r="G341" s="144" t="s">
        <v>327</v>
      </c>
      <c r="H341" s="144"/>
      <c r="I341" s="144">
        <v>35</v>
      </c>
      <c r="J341" s="144"/>
      <c r="K341" s="144"/>
      <c r="L341" s="144">
        <f>SUM(Tabla1[[#This Row],[Desayuno C$ 25]:[Transporte]])</f>
        <v>35</v>
      </c>
    </row>
    <row r="342" spans="1:12" x14ac:dyDescent="0.25">
      <c r="A342" s="144">
        <v>201033</v>
      </c>
      <c r="B342" s="144" t="str">
        <f>+IFERROR(VLOOKUP(A342,Tabla2[#Data],2,0),"")</f>
        <v>MARCOS FRANCISCO ALTAMIRANO CANDIA</v>
      </c>
      <c r="C342" s="144" t="str">
        <f>+IFERROR(VLOOKUP(A342,Tabla2[#Data],3,0),"")</f>
        <v>Ayudante II M</v>
      </c>
      <c r="D342" s="144">
        <v>340</v>
      </c>
      <c r="E342" s="144">
        <v>43858</v>
      </c>
      <c r="F342" s="144" t="str">
        <f>+IFERROR(VLOOKUP(WEEKDAY(E342),Catalogo!$F$1:$G$7,2,0),"")</f>
        <v>MARTES</v>
      </c>
      <c r="G342" s="144" t="s">
        <v>293</v>
      </c>
      <c r="H342" s="144"/>
      <c r="I342" s="144">
        <v>65</v>
      </c>
      <c r="J342" s="144"/>
      <c r="K342" s="144"/>
      <c r="L342" s="144">
        <f>SUM(Tabla1[[#This Row],[Desayuno C$ 25]:[Transporte]])</f>
        <v>65</v>
      </c>
    </row>
    <row r="343" spans="1:12" x14ac:dyDescent="0.25">
      <c r="A343" s="144">
        <v>210727</v>
      </c>
      <c r="B343" s="144" t="str">
        <f>+IFERROR(VLOOKUP(A343,Tabla2[#Data],2,0),"")</f>
        <v>FRANCISCO JOSE LUNA ROQUE</v>
      </c>
      <c r="C343" s="144" t="str">
        <f>+IFERROR(VLOOKUP(A343,Tabla2[#Data],3,0),"")</f>
        <v>Ayudante II M</v>
      </c>
      <c r="D343" s="144">
        <v>341</v>
      </c>
      <c r="E343" s="144">
        <v>43858</v>
      </c>
      <c r="F343" s="144" t="str">
        <f>+IFERROR(VLOOKUP(WEEKDAY(E343),Catalogo!$F$1:$G$7,2,0),"")</f>
        <v>MARTES</v>
      </c>
      <c r="G343" s="144" t="s">
        <v>291</v>
      </c>
      <c r="H343" s="144"/>
      <c r="I343" s="144">
        <v>35</v>
      </c>
      <c r="J343" s="144"/>
      <c r="K343" s="144"/>
      <c r="L343" s="144">
        <f>SUM(Tabla1[[#This Row],[Desayuno C$ 25]:[Transporte]])</f>
        <v>35</v>
      </c>
    </row>
    <row r="344" spans="1:12" x14ac:dyDescent="0.25">
      <c r="A344" s="144">
        <v>211888</v>
      </c>
      <c r="B344" s="144" t="str">
        <f>+IFERROR(VLOOKUP(A344,Tabla2[#Data],2,0),"")</f>
        <v>RICARDO ANTONIO AQUINO CHAVARRIA</v>
      </c>
      <c r="C344" s="144" t="str">
        <f>+IFERROR(VLOOKUP(A344,Tabla2[#Data],3,0),"")</f>
        <v>Ayudante II M</v>
      </c>
      <c r="D344" s="144">
        <v>342</v>
      </c>
      <c r="E344" s="144">
        <v>43858</v>
      </c>
      <c r="F344" s="144" t="str">
        <f>+IFERROR(VLOOKUP(WEEKDAY(E344),Catalogo!$F$1:$G$7,2,0),"")</f>
        <v>MARTES</v>
      </c>
      <c r="G344" s="144" t="s">
        <v>290</v>
      </c>
      <c r="H344" s="144"/>
      <c r="I344" s="144">
        <v>35</v>
      </c>
      <c r="J344" s="144"/>
      <c r="K344" s="144"/>
      <c r="L344" s="144">
        <f>SUM(Tabla1[[#This Row],[Desayuno C$ 25]:[Transporte]])</f>
        <v>35</v>
      </c>
    </row>
    <row r="345" spans="1:12" x14ac:dyDescent="0.25">
      <c r="A345" s="144">
        <v>204784</v>
      </c>
      <c r="B345" s="144" t="str">
        <f>+IFERROR(VLOOKUP(A345,Tabla2[#Data],2,0),"")</f>
        <v>ELVER ANTONIO SOMARRIBA CHAVARRIA</v>
      </c>
      <c r="C345" s="144" t="str">
        <f>+IFERROR(VLOOKUP(A345,Tabla2[#Data],3,0),"")</f>
        <v>Ayudante II M</v>
      </c>
      <c r="D345" s="144">
        <v>343</v>
      </c>
      <c r="E345" s="144">
        <v>43858</v>
      </c>
      <c r="F345" s="144" t="str">
        <f>+IFERROR(VLOOKUP(WEEKDAY(E345),Catalogo!$F$1:$G$7,2,0),"")</f>
        <v>MARTES</v>
      </c>
      <c r="G345" s="144" t="s">
        <v>290</v>
      </c>
      <c r="H345" s="144"/>
      <c r="I345" s="144">
        <v>35</v>
      </c>
      <c r="J345" s="144"/>
      <c r="K345" s="144"/>
      <c r="L345" s="144">
        <f>SUM(Tabla1[[#This Row],[Desayuno C$ 25]:[Transporte]])</f>
        <v>35</v>
      </c>
    </row>
    <row r="346" spans="1:12" x14ac:dyDescent="0.25">
      <c r="A346" s="144">
        <v>213029</v>
      </c>
      <c r="B346" s="144" t="str">
        <f>+IFERROR(VLOOKUP(A346,Tabla2[#Data],2,0),"")</f>
        <v>MAYNOR RAMIRO PALACIO CRUZ</v>
      </c>
      <c r="C346" s="144" t="str">
        <f>+IFERROR(VLOOKUP(A346,Tabla2[#Data],3,0),"")</f>
        <v>Ayudante II M</v>
      </c>
      <c r="D346" s="144">
        <v>344</v>
      </c>
      <c r="E346" s="144">
        <v>43858</v>
      </c>
      <c r="F346" s="144" t="str">
        <f>+IFERROR(VLOOKUP(WEEKDAY(E346),Catalogo!$F$1:$G$7,2,0),"")</f>
        <v>MARTES</v>
      </c>
      <c r="G346" s="144" t="s">
        <v>327</v>
      </c>
      <c r="H346" s="144"/>
      <c r="I346" s="144">
        <v>35</v>
      </c>
      <c r="J346" s="144"/>
      <c r="K346" s="144"/>
      <c r="L346" s="144">
        <f>SUM(Tabla1[[#This Row],[Desayuno C$ 25]:[Transporte]])</f>
        <v>35</v>
      </c>
    </row>
    <row r="347" spans="1:12" x14ac:dyDescent="0.25">
      <c r="A347" s="144">
        <v>203339</v>
      </c>
      <c r="B347" s="144" t="str">
        <f>+IFERROR(VLOOKUP(A347,Tabla2[#Data],2,0),"")</f>
        <v>RAFAEL GUADALUPE HERRERA GOMEZ</v>
      </c>
      <c r="C347" s="144" t="str">
        <f>+IFERROR(VLOOKUP(A347,Tabla2[#Data],3,0),"")</f>
        <v>Ayudante II M</v>
      </c>
      <c r="D347" s="144">
        <v>345</v>
      </c>
      <c r="E347" s="144">
        <v>43858</v>
      </c>
      <c r="F347" s="144" t="str">
        <f>+IFERROR(VLOOKUP(WEEKDAY(E347),Catalogo!$F$1:$G$7,2,0),"")</f>
        <v>MARTES</v>
      </c>
      <c r="G347" s="144" t="s">
        <v>293</v>
      </c>
      <c r="H347" s="144"/>
      <c r="I347" s="144">
        <v>65</v>
      </c>
      <c r="J347" s="144"/>
      <c r="K347" s="144"/>
      <c r="L347" s="144">
        <f>SUM(Tabla1[[#This Row],[Desayuno C$ 25]:[Transporte]])</f>
        <v>65</v>
      </c>
    </row>
    <row r="348" spans="1:12" x14ac:dyDescent="0.25">
      <c r="A348" s="144">
        <v>201033</v>
      </c>
      <c r="B348" s="144" t="str">
        <f>+IFERROR(VLOOKUP(A348,Tabla2[#Data],2,0),"")</f>
        <v>MARCOS FRANCISCO ALTAMIRANO CANDIA</v>
      </c>
      <c r="C348" s="144" t="str">
        <f>+IFERROR(VLOOKUP(A348,Tabla2[#Data],3,0),"")</f>
        <v>Ayudante II M</v>
      </c>
      <c r="D348" s="144">
        <v>346</v>
      </c>
      <c r="E348" s="144">
        <v>43859</v>
      </c>
      <c r="F348" s="144" t="str">
        <f>+IFERROR(VLOOKUP(WEEKDAY(E348),Catalogo!$F$1:$G$7,2,0),"")</f>
        <v>MIÉRCOLES</v>
      </c>
      <c r="G348" s="144" t="s">
        <v>291</v>
      </c>
      <c r="H348" s="144"/>
      <c r="I348" s="144">
        <v>35</v>
      </c>
      <c r="J348" s="144"/>
      <c r="K348" s="144"/>
      <c r="L348" s="144">
        <f>SUM(Tabla1[[#This Row],[Desayuno C$ 25]:[Transporte]])</f>
        <v>35</v>
      </c>
    </row>
    <row r="349" spans="1:12" x14ac:dyDescent="0.25">
      <c r="A349" s="144">
        <v>210727</v>
      </c>
      <c r="B349" s="144" t="str">
        <f>+IFERROR(VLOOKUP(A349,Tabla2[#Data],2,0),"")</f>
        <v>FRANCISCO JOSE LUNA ROQUE</v>
      </c>
      <c r="C349" s="144" t="str">
        <f>+IFERROR(VLOOKUP(A349,Tabla2[#Data],3,0),"")</f>
        <v>Ayudante II M</v>
      </c>
      <c r="D349" s="144">
        <v>347</v>
      </c>
      <c r="E349" s="144">
        <v>43859</v>
      </c>
      <c r="F349" s="144" t="str">
        <f>+IFERROR(VLOOKUP(WEEKDAY(E349),Catalogo!$F$1:$G$7,2,0),"")</f>
        <v>MIÉRCOLES</v>
      </c>
      <c r="G349" s="144" t="s">
        <v>292</v>
      </c>
      <c r="H349" s="144"/>
      <c r="I349" s="144">
        <v>65</v>
      </c>
      <c r="J349" s="144"/>
      <c r="K349" s="144"/>
      <c r="L349" s="144">
        <f>SUM(Tabla1[[#This Row],[Desayuno C$ 25]:[Transporte]])</f>
        <v>65</v>
      </c>
    </row>
    <row r="350" spans="1:12" x14ac:dyDescent="0.25">
      <c r="A350" s="144">
        <v>213029</v>
      </c>
      <c r="B350" s="144" t="str">
        <f>+IFERROR(VLOOKUP(A350,Tabla2[#Data],2,0),"")</f>
        <v>MAYNOR RAMIRO PALACIO CRUZ</v>
      </c>
      <c r="C350" s="144" t="str">
        <f>+IFERROR(VLOOKUP(A350,Tabla2[#Data],3,0),"")</f>
        <v>Ayudante II M</v>
      </c>
      <c r="D350" s="144">
        <v>348</v>
      </c>
      <c r="E350" s="144">
        <v>43859</v>
      </c>
      <c r="F350" s="144" t="str">
        <f>+IFERROR(VLOOKUP(WEEKDAY(E350),Catalogo!$F$1:$G$7,2,0),"")</f>
        <v>MIÉRCOLES</v>
      </c>
      <c r="G350" s="144" t="s">
        <v>290</v>
      </c>
      <c r="H350" s="144"/>
      <c r="I350" s="144">
        <v>35</v>
      </c>
      <c r="J350" s="144"/>
      <c r="K350" s="144"/>
      <c r="L350" s="144">
        <f>SUM(Tabla1[[#This Row],[Desayuno C$ 25]:[Transporte]])</f>
        <v>35</v>
      </c>
    </row>
    <row r="351" spans="1:12" x14ac:dyDescent="0.25">
      <c r="A351" s="144">
        <v>201130</v>
      </c>
      <c r="B351" s="144" t="str">
        <f>+IFERROR(VLOOKUP(A351,Tabla2[#Data],2,0),"")</f>
        <v>JUAN MANUEL CARRASCO</v>
      </c>
      <c r="C351" s="144" t="str">
        <f>+IFERROR(VLOOKUP(A351,Tabla2[#Data],3,0),"")</f>
        <v>Ayudante II M</v>
      </c>
      <c r="D351" s="144">
        <v>349</v>
      </c>
      <c r="E351" s="144">
        <v>43859</v>
      </c>
      <c r="F351" s="144" t="str">
        <f>+IFERROR(VLOOKUP(WEEKDAY(E351),Catalogo!$F$1:$G$7,2,0),"")</f>
        <v>MIÉRCOLES</v>
      </c>
      <c r="G351" s="144" t="s">
        <v>291</v>
      </c>
      <c r="H351" s="144"/>
      <c r="I351" s="144">
        <v>35</v>
      </c>
      <c r="J351" s="144"/>
      <c r="K351" s="144"/>
      <c r="L351" s="144">
        <f>SUM(Tabla1[[#This Row],[Desayuno C$ 25]:[Transporte]])</f>
        <v>35</v>
      </c>
    </row>
    <row r="352" spans="1:12" x14ac:dyDescent="0.25">
      <c r="A352" s="144">
        <v>213032</v>
      </c>
      <c r="B352" s="144" t="str">
        <f>+IFERROR(VLOOKUP(A352,Tabla2[#Data],2,0),"")</f>
        <v>JORGE LUIS GONZALEZ LOPEZ</v>
      </c>
      <c r="C352" s="144" t="str">
        <f>+IFERROR(VLOOKUP(A352,Tabla2[#Data],3,0),"")</f>
        <v>Ayudante II M</v>
      </c>
      <c r="D352" s="144">
        <v>350</v>
      </c>
      <c r="E352" s="144">
        <v>43859</v>
      </c>
      <c r="F352" s="144" t="str">
        <f>+IFERROR(VLOOKUP(WEEKDAY(E352),Catalogo!$F$1:$G$7,2,0),"")</f>
        <v>MIÉRCOLES</v>
      </c>
      <c r="G352" s="144" t="s">
        <v>292</v>
      </c>
      <c r="H352" s="144"/>
      <c r="I352" s="144">
        <v>65</v>
      </c>
      <c r="J352" s="144"/>
      <c r="K352" s="144"/>
      <c r="L352" s="144">
        <f>SUM(Tabla1[[#This Row],[Desayuno C$ 25]:[Transporte]])</f>
        <v>65</v>
      </c>
    </row>
    <row r="353" spans="1:12" x14ac:dyDescent="0.25">
      <c r="A353" s="144">
        <v>201033</v>
      </c>
      <c r="B353" s="144" t="str">
        <f>+IFERROR(VLOOKUP(A353,Tabla2[#Data],2,0),"")</f>
        <v>MARCOS FRANCISCO ALTAMIRANO CANDIA</v>
      </c>
      <c r="C353" s="144" t="str">
        <f>+IFERROR(VLOOKUP(A353,Tabla2[#Data],3,0),"")</f>
        <v>Ayudante II M</v>
      </c>
      <c r="D353" s="144">
        <v>351</v>
      </c>
      <c r="E353" s="144">
        <v>43860</v>
      </c>
      <c r="F353" s="144" t="str">
        <f>+IFERROR(VLOOKUP(WEEKDAY(E353),Catalogo!$F$1:$G$7,2,0),"")</f>
        <v>JUEVES</v>
      </c>
      <c r="G353" s="144" t="s">
        <v>290</v>
      </c>
      <c r="H353" s="144"/>
      <c r="I353" s="144">
        <v>35</v>
      </c>
      <c r="J353" s="144"/>
      <c r="K353" s="144"/>
      <c r="L353" s="144">
        <f>SUM(Tabla1[[#This Row],[Desayuno C$ 25]:[Transporte]])</f>
        <v>35</v>
      </c>
    </row>
    <row r="354" spans="1:12" x14ac:dyDescent="0.25">
      <c r="A354" s="144">
        <v>210727</v>
      </c>
      <c r="B354" s="144" t="str">
        <f>+IFERROR(VLOOKUP(A354,Tabla2[#Data],2,0),"")</f>
        <v>FRANCISCO JOSE LUNA ROQUE</v>
      </c>
      <c r="C354" s="144" t="str">
        <f>+IFERROR(VLOOKUP(A354,Tabla2[#Data],3,0),"")</f>
        <v>Ayudante II M</v>
      </c>
      <c r="D354" s="144">
        <v>352</v>
      </c>
      <c r="E354" s="144">
        <v>43860</v>
      </c>
      <c r="F354" s="144" t="str">
        <f>+IFERROR(VLOOKUP(WEEKDAY(E354),Catalogo!$F$1:$G$7,2,0),"")</f>
        <v>JUEVES</v>
      </c>
      <c r="G354" s="144" t="s">
        <v>291</v>
      </c>
      <c r="H354" s="144"/>
      <c r="I354" s="144">
        <v>35</v>
      </c>
      <c r="J354" s="144"/>
      <c r="K354" s="144"/>
      <c r="L354" s="144">
        <f>SUM(Tabla1[[#This Row],[Desayuno C$ 25]:[Transporte]])</f>
        <v>35</v>
      </c>
    </row>
    <row r="355" spans="1:12" x14ac:dyDescent="0.25">
      <c r="A355" s="144">
        <v>211622</v>
      </c>
      <c r="B355" s="144" t="str">
        <f>+IFERROR(VLOOKUP(A355,Tabla2[#Data],2,0),"")</f>
        <v>DANIELITO SOFONIA RIVERA</v>
      </c>
      <c r="C355" s="144" t="str">
        <f>+IFERROR(VLOOKUP(A355,Tabla2[#Data],3,0),"")</f>
        <v>Ayudante II M</v>
      </c>
      <c r="D355" s="144">
        <v>353</v>
      </c>
      <c r="E355" s="144">
        <v>43860</v>
      </c>
      <c r="F355" s="144" t="str">
        <f>+IFERROR(VLOOKUP(WEEKDAY(E355),Catalogo!$F$1:$G$7,2,0),"")</f>
        <v>JUEVES</v>
      </c>
      <c r="G355" s="144" t="s">
        <v>292</v>
      </c>
      <c r="H355" s="144"/>
      <c r="I355" s="144">
        <v>65</v>
      </c>
      <c r="J355" s="144"/>
      <c r="K355" s="144"/>
      <c r="L355" s="144">
        <f>SUM(Tabla1[[#This Row],[Desayuno C$ 25]:[Transporte]])</f>
        <v>65</v>
      </c>
    </row>
    <row r="356" spans="1:12" x14ac:dyDescent="0.25">
      <c r="A356" s="144">
        <v>210727</v>
      </c>
      <c r="B356" s="144" t="str">
        <f>+IFERROR(VLOOKUP(A356,Tabla2[#Data],2,0),"")</f>
        <v>FRANCISCO JOSE LUNA ROQUE</v>
      </c>
      <c r="C356" s="144" t="str">
        <f>+IFERROR(VLOOKUP(A356,Tabla2[#Data],3,0),"")</f>
        <v>Ayudante II M</v>
      </c>
      <c r="D356" s="144">
        <v>354</v>
      </c>
      <c r="E356" s="144">
        <v>43861</v>
      </c>
      <c r="F356" s="144" t="str">
        <f>+IFERROR(VLOOKUP(WEEKDAY(E356),Catalogo!$F$1:$G$7,2,0),"")</f>
        <v>VIERNES</v>
      </c>
      <c r="G356" s="144" t="s">
        <v>291</v>
      </c>
      <c r="H356" s="144"/>
      <c r="I356" s="144">
        <v>35</v>
      </c>
      <c r="J356" s="144"/>
      <c r="K356" s="144"/>
      <c r="L356" s="144">
        <f>SUM(Tabla1[[#This Row],[Desayuno C$ 25]:[Transporte]])</f>
        <v>35</v>
      </c>
    </row>
    <row r="357" spans="1:12" x14ac:dyDescent="0.25">
      <c r="A357" s="144">
        <v>211622</v>
      </c>
      <c r="B357" s="144" t="str">
        <f>+IFERROR(VLOOKUP(A357,Tabla2[#Data],2,0),"")</f>
        <v>DANIELITO SOFONIA RIVERA</v>
      </c>
      <c r="C357" s="144" t="str">
        <f>+IFERROR(VLOOKUP(A357,Tabla2[#Data],3,0),"")</f>
        <v>Ayudante II M</v>
      </c>
      <c r="D357" s="144">
        <v>355</v>
      </c>
      <c r="E357" s="144">
        <v>43861</v>
      </c>
      <c r="F357" s="144" t="str">
        <f>+IFERROR(VLOOKUP(WEEKDAY(E357),Catalogo!$F$1:$G$7,2,0),"")</f>
        <v>VIERNES</v>
      </c>
      <c r="G357" s="144" t="s">
        <v>292</v>
      </c>
      <c r="H357" s="144"/>
      <c r="I357" s="144">
        <v>65</v>
      </c>
      <c r="J357" s="144"/>
      <c r="K357" s="144"/>
      <c r="L357" s="144">
        <f>SUM(Tabla1[[#This Row],[Desayuno C$ 25]:[Transporte]])</f>
        <v>65</v>
      </c>
    </row>
    <row r="358" spans="1:12" x14ac:dyDescent="0.25">
      <c r="A358" s="144">
        <v>201130</v>
      </c>
      <c r="B358" s="144" t="str">
        <f>+IFERROR(VLOOKUP(A358,Tabla2[#Data],2,0),"")</f>
        <v>JUAN MANUEL CARRASCO</v>
      </c>
      <c r="C358" s="144" t="str">
        <f>+IFERROR(VLOOKUP(A358,Tabla2[#Data],3,0),"")</f>
        <v>Ayudante II M</v>
      </c>
      <c r="D358" s="144">
        <v>356</v>
      </c>
      <c r="E358" s="144">
        <v>43861</v>
      </c>
      <c r="F358" s="144" t="str">
        <f>+IFERROR(VLOOKUP(WEEKDAY(E358),Catalogo!$F$1:$G$7,2,0),"")</f>
        <v>VIERNES</v>
      </c>
      <c r="G358" s="144" t="s">
        <v>329</v>
      </c>
      <c r="H358" s="144"/>
      <c r="I358" s="144">
        <v>35</v>
      </c>
      <c r="J358" s="144"/>
      <c r="K358" s="144"/>
      <c r="L358" s="144">
        <f>SUM(Tabla1[[#This Row],[Desayuno C$ 25]:[Transporte]])</f>
        <v>35</v>
      </c>
    </row>
    <row r="359" spans="1:12" x14ac:dyDescent="0.25">
      <c r="A359" s="144">
        <v>213275</v>
      </c>
      <c r="B359" s="144" t="str">
        <f>+IFERROR(VLOOKUP(A359,Tabla2[#Data],2,0),"")</f>
        <v>JUAN DE DIOS ROJAS</v>
      </c>
      <c r="C359" s="144" t="str">
        <f>+IFERROR(VLOOKUP(A359,Tabla2[#Data],3,0),"")</f>
        <v>Ayudante II M</v>
      </c>
      <c r="D359" s="144">
        <v>357</v>
      </c>
      <c r="E359" s="144">
        <v>43861</v>
      </c>
      <c r="F359" s="144" t="str">
        <f>+IFERROR(VLOOKUP(WEEKDAY(E359),Catalogo!$F$1:$G$7,2,0),"")</f>
        <v>VIERNES</v>
      </c>
      <c r="G359" s="144" t="s">
        <v>290</v>
      </c>
      <c r="H359" s="144"/>
      <c r="I359" s="144">
        <v>35</v>
      </c>
      <c r="J359" s="144"/>
      <c r="K359" s="144"/>
      <c r="L359" s="144">
        <f>SUM(Tabla1[[#This Row],[Desayuno C$ 25]:[Transporte]])</f>
        <v>35</v>
      </c>
    </row>
    <row r="360" spans="1:12" x14ac:dyDescent="0.25">
      <c r="A360" s="144">
        <v>208496</v>
      </c>
      <c r="B360" s="144" t="str">
        <f>+IFERROR(VLOOKUP(A360,Tabla2[#Data],2,0),"")</f>
        <v>FELIX ANTONIO GONZALEZ</v>
      </c>
      <c r="C360" s="144" t="str">
        <f>+IFERROR(VLOOKUP(A360,Tabla2[#Data],3,0),"")</f>
        <v>Ayudante II M</v>
      </c>
      <c r="D360" s="144">
        <v>358</v>
      </c>
      <c r="E360" s="144">
        <v>43861</v>
      </c>
      <c r="F360" s="144" t="str">
        <f>+IFERROR(VLOOKUP(WEEKDAY(E360),Catalogo!$F$1:$G$7,2,0),"")</f>
        <v>VIERNES</v>
      </c>
      <c r="G360" s="144" t="s">
        <v>291</v>
      </c>
      <c r="H360" s="144"/>
      <c r="I360" s="144">
        <v>35</v>
      </c>
      <c r="J360" s="144"/>
      <c r="K360" s="144"/>
      <c r="L360" s="144">
        <f>SUM(Tabla1[[#This Row],[Desayuno C$ 25]:[Transporte]])</f>
        <v>35</v>
      </c>
    </row>
    <row r="361" spans="1:12" x14ac:dyDescent="0.25">
      <c r="A361" s="144">
        <v>203339</v>
      </c>
      <c r="B361" s="144" t="str">
        <f>+IFERROR(VLOOKUP(A361,Tabla2[#Data],2,0),"")</f>
        <v>RAFAEL GUADALUPE HERRERA GOMEZ</v>
      </c>
      <c r="C361" s="144" t="str">
        <f>+IFERROR(VLOOKUP(A361,Tabla2[#Data],3,0),"")</f>
        <v>Ayudante II M</v>
      </c>
      <c r="D361" s="144">
        <v>359</v>
      </c>
      <c r="E361" s="144">
        <v>43861</v>
      </c>
      <c r="F361" s="144" t="str">
        <f>+IFERROR(VLOOKUP(WEEKDAY(E361),Catalogo!$F$1:$G$7,2,0),"")</f>
        <v>VIERNES</v>
      </c>
      <c r="G361" s="144" t="s">
        <v>328</v>
      </c>
      <c r="H361" s="144"/>
      <c r="I361" s="144">
        <v>35</v>
      </c>
      <c r="J361" s="144"/>
      <c r="K361" s="144"/>
      <c r="L361" s="144">
        <f>SUM(Tabla1[[#This Row],[Desayuno C$ 25]:[Transporte]])</f>
        <v>35</v>
      </c>
    </row>
    <row r="362" spans="1:12" x14ac:dyDescent="0.25">
      <c r="A362" s="144">
        <v>203609</v>
      </c>
      <c r="B362" s="144" t="str">
        <f>+IFERROR(VLOOKUP(A362,Tabla2[#Data],2,0),"")</f>
        <v>ORLANDO JOSE BLANCO MEJIA</v>
      </c>
      <c r="C362" s="144" t="str">
        <f>+IFERROR(VLOOKUP(A362,Tabla2[#Data],3,0),"")</f>
        <v>Ayudante II M</v>
      </c>
      <c r="D362" s="144">
        <v>360</v>
      </c>
      <c r="E362" s="144">
        <v>43861</v>
      </c>
      <c r="F362" s="144" t="str">
        <f>+IFERROR(VLOOKUP(WEEKDAY(E362),Catalogo!$F$1:$G$7,2,0),"")</f>
        <v>VIERNES</v>
      </c>
      <c r="G362" s="144" t="s">
        <v>328</v>
      </c>
      <c r="H362" s="144"/>
      <c r="I362" s="144">
        <v>35</v>
      </c>
      <c r="J362" s="144"/>
      <c r="K362" s="144"/>
      <c r="L362" s="144">
        <f>SUM(Tabla1[[#This Row],[Desayuno C$ 25]:[Transporte]])</f>
        <v>35</v>
      </c>
    </row>
    <row r="363" spans="1:12" x14ac:dyDescent="0.25">
      <c r="A363" s="144">
        <v>213021</v>
      </c>
      <c r="B363" s="144" t="str">
        <f>+IFERROR(VLOOKUP(A363,Tabla2[#Data],2,0),"")</f>
        <v>BRAYAN ANTONIO SEQUEIRA RAMIREZ</v>
      </c>
      <c r="C363" s="144" t="str">
        <f>+IFERROR(VLOOKUP(A363,Tabla2[#Data],3,0),"")</f>
        <v>Ayudante II M</v>
      </c>
      <c r="D363" s="144">
        <v>361</v>
      </c>
      <c r="E363" s="144">
        <v>43862</v>
      </c>
      <c r="F363" s="144" t="str">
        <f>+IFERROR(VLOOKUP(WEEKDAY(E363),Catalogo!$F$1:$G$7,2,0),"")</f>
        <v>SÁBADO</v>
      </c>
      <c r="G363" s="144" t="s">
        <v>290</v>
      </c>
      <c r="H363" s="144"/>
      <c r="I363" s="144">
        <v>35</v>
      </c>
      <c r="J363" s="144"/>
      <c r="K363" s="144"/>
      <c r="L363" s="144">
        <f>SUM(Tabla1[[#This Row],[Desayuno C$ 25]:[Transporte]])</f>
        <v>35</v>
      </c>
    </row>
    <row r="364" spans="1:12" x14ac:dyDescent="0.25">
      <c r="A364" s="144">
        <v>212223</v>
      </c>
      <c r="B364" s="144" t="str">
        <f>+IFERROR(VLOOKUP(A364,Tabla2[#Data],2,0),"")</f>
        <v>GERSSON OSMIR AVELARES RAMIREZ</v>
      </c>
      <c r="C364" s="144" t="str">
        <f>+IFERROR(VLOOKUP(A364,Tabla2[#Data],3,0),"")</f>
        <v>Ayudante II M</v>
      </c>
      <c r="D364" s="144">
        <v>362</v>
      </c>
      <c r="E364" s="144">
        <v>43862</v>
      </c>
      <c r="F364" s="144" t="str">
        <f>+IFERROR(VLOOKUP(WEEKDAY(E364),Catalogo!$F$1:$G$7,2,0),"")</f>
        <v>SÁBADO</v>
      </c>
      <c r="G364" s="144" t="s">
        <v>291</v>
      </c>
      <c r="H364" s="144"/>
      <c r="I364" s="144">
        <v>35</v>
      </c>
      <c r="J364" s="144"/>
      <c r="K364" s="144"/>
      <c r="L364" s="144">
        <f>SUM(Tabla1[[#This Row],[Desayuno C$ 25]:[Transporte]])</f>
        <v>35</v>
      </c>
    </row>
    <row r="365" spans="1:12" x14ac:dyDescent="0.25">
      <c r="A365" s="144">
        <v>212226</v>
      </c>
      <c r="B365" s="144" t="str">
        <f>+IFERROR(VLOOKUP(A365,Tabla2[#Data],2,0),"")</f>
        <v>RICARDO JOSE OSABAS REYES</v>
      </c>
      <c r="C365" s="144" t="str">
        <f>+IFERROR(VLOOKUP(A365,Tabla2[#Data],3,0),"")</f>
        <v>Ayudante II M</v>
      </c>
      <c r="D365" s="144">
        <v>363</v>
      </c>
      <c r="E365" s="144">
        <v>43862</v>
      </c>
      <c r="F365" s="144" t="str">
        <f>+IFERROR(VLOOKUP(WEEKDAY(E365),Catalogo!$F$1:$G$7,2,0),"")</f>
        <v>SÁBADO</v>
      </c>
      <c r="G365" s="144" t="s">
        <v>291</v>
      </c>
      <c r="H365" s="144"/>
      <c r="I365" s="144">
        <v>35</v>
      </c>
      <c r="J365" s="144"/>
      <c r="K365" s="144"/>
      <c r="L365" s="144">
        <f>SUM(Tabla1[[#This Row],[Desayuno C$ 25]:[Transporte]])</f>
        <v>35</v>
      </c>
    </row>
    <row r="366" spans="1:12" x14ac:dyDescent="0.25">
      <c r="A366" s="144">
        <v>203339</v>
      </c>
      <c r="B366" s="144" t="str">
        <f>+IFERROR(VLOOKUP(A366,Tabla2[#Data],2,0),"")</f>
        <v>RAFAEL GUADALUPE HERRERA GOMEZ</v>
      </c>
      <c r="C366" s="144" t="str">
        <f>+IFERROR(VLOOKUP(A366,Tabla2[#Data],3,0),"")</f>
        <v>Ayudante II M</v>
      </c>
      <c r="D366" s="144">
        <v>364</v>
      </c>
      <c r="E366" s="144">
        <v>43862</v>
      </c>
      <c r="F366" s="144" t="str">
        <f>+IFERROR(VLOOKUP(WEEKDAY(E366),Catalogo!$F$1:$G$7,2,0),"")</f>
        <v>SÁBADO</v>
      </c>
      <c r="G366" s="144" t="s">
        <v>290</v>
      </c>
      <c r="H366" s="144"/>
      <c r="I366" s="144">
        <v>35</v>
      </c>
      <c r="J366" s="144"/>
      <c r="K366" s="144"/>
      <c r="L366" s="144">
        <f>SUM(Tabla1[[#This Row],[Desayuno C$ 25]:[Transporte]])</f>
        <v>35</v>
      </c>
    </row>
    <row r="367" spans="1:12" x14ac:dyDescent="0.25">
      <c r="A367" s="144">
        <v>204784</v>
      </c>
      <c r="B367" s="144" t="str">
        <f>+IFERROR(VLOOKUP(A367,Tabla2[#Data],2,0),"")</f>
        <v>ELVER ANTONIO SOMARRIBA CHAVARRIA</v>
      </c>
      <c r="C367" s="144" t="str">
        <f>+IFERROR(VLOOKUP(A367,Tabla2[#Data],3,0),"")</f>
        <v>Ayudante II M</v>
      </c>
      <c r="D367" s="144">
        <v>365</v>
      </c>
      <c r="E367" s="144">
        <v>43863</v>
      </c>
      <c r="F367" s="144" t="str">
        <f>+IFERROR(VLOOKUP(WEEKDAY(E367),Catalogo!$F$1:$G$7,2,0),"")</f>
        <v>DOMINGO</v>
      </c>
      <c r="G367" s="144" t="s">
        <v>290</v>
      </c>
      <c r="H367" s="144"/>
      <c r="I367" s="144">
        <v>35</v>
      </c>
      <c r="J367" s="144"/>
      <c r="K367" s="144"/>
      <c r="L367" s="144">
        <f>SUM(Tabla1[[#This Row],[Desayuno C$ 25]:[Transporte]])</f>
        <v>35</v>
      </c>
    </row>
    <row r="368" spans="1:12" x14ac:dyDescent="0.25">
      <c r="A368" s="144">
        <v>203363</v>
      </c>
      <c r="B368" s="144" t="str">
        <f>+IFERROR(VLOOKUP(A368,Tabla2[#Data],2,0),"")</f>
        <v>JOSE MARIA BONILLA</v>
      </c>
      <c r="C368" s="144" t="str">
        <f>+IFERROR(VLOOKUP(A368,Tabla2[#Data],3,0),"")</f>
        <v>Ayudante II M</v>
      </c>
      <c r="D368" s="144">
        <v>366</v>
      </c>
      <c r="E368" s="144">
        <v>43863</v>
      </c>
      <c r="F368" s="144" t="str">
        <f>+IFERROR(VLOOKUP(WEEKDAY(E368),Catalogo!$F$1:$G$7,2,0),"")</f>
        <v>DOMINGO</v>
      </c>
      <c r="G368" s="144" t="s">
        <v>329</v>
      </c>
      <c r="H368" s="144"/>
      <c r="I368" s="144">
        <v>35</v>
      </c>
      <c r="J368" s="144"/>
      <c r="K368" s="144"/>
      <c r="L368" s="144">
        <f>SUM(Tabla1[[#This Row],[Desayuno C$ 25]:[Transporte]])</f>
        <v>35</v>
      </c>
    </row>
    <row r="369" spans="1:12" x14ac:dyDescent="0.25">
      <c r="A369" s="144">
        <v>211387</v>
      </c>
      <c r="B369" s="144" t="str">
        <f>+IFERROR(VLOOKUP(A369,Tabla2[#Data],2,0),"")</f>
        <v>RICARDO ANTONIO BONILLA JUAREZ</v>
      </c>
      <c r="C369" s="144" t="str">
        <f>+IFERROR(VLOOKUP(A369,Tabla2[#Data],3,0),"")</f>
        <v>Ayudante II M</v>
      </c>
      <c r="D369" s="144">
        <v>367</v>
      </c>
      <c r="E369" s="144">
        <v>43863</v>
      </c>
      <c r="F369" s="144" t="str">
        <f>+IFERROR(VLOOKUP(WEEKDAY(E369),Catalogo!$F$1:$G$7,2,0),"")</f>
        <v>DOMINGO</v>
      </c>
      <c r="G369" s="144" t="s">
        <v>329</v>
      </c>
      <c r="H369" s="144"/>
      <c r="I369" s="144">
        <v>35</v>
      </c>
      <c r="J369" s="144"/>
      <c r="K369" s="144"/>
      <c r="L369" s="144">
        <f>SUM(Tabla1[[#This Row],[Desayuno C$ 25]:[Transporte]])</f>
        <v>35</v>
      </c>
    </row>
    <row r="370" spans="1:12" x14ac:dyDescent="0.25">
      <c r="A370" s="144">
        <v>204784</v>
      </c>
      <c r="B370" s="144" t="str">
        <f>+IFERROR(VLOOKUP(A370,Tabla2[#Data],2,0),"")</f>
        <v>ELVER ANTONIO SOMARRIBA CHAVARRIA</v>
      </c>
      <c r="C370" s="144" t="str">
        <f>+IFERROR(VLOOKUP(A370,Tabla2[#Data],3,0),"")</f>
        <v>Ayudante II M</v>
      </c>
      <c r="D370" s="144">
        <v>368</v>
      </c>
      <c r="E370" s="144">
        <v>43864</v>
      </c>
      <c r="F370" s="144" t="str">
        <f>+IFERROR(VLOOKUP(WEEKDAY(E370),Catalogo!$F$1:$G$7,2,0),"")</f>
        <v>LUNES</v>
      </c>
      <c r="G370" s="144" t="s">
        <v>290</v>
      </c>
      <c r="H370" s="144"/>
      <c r="I370" s="144">
        <v>35</v>
      </c>
      <c r="J370" s="144"/>
      <c r="K370" s="144"/>
      <c r="L370" s="144">
        <f>SUM(Tabla1[[#This Row],[Desayuno C$ 25]:[Transporte]])</f>
        <v>35</v>
      </c>
    </row>
    <row r="371" spans="1:12" x14ac:dyDescent="0.25">
      <c r="A371" s="144">
        <v>201130</v>
      </c>
      <c r="B371" s="144" t="str">
        <f>+IFERROR(VLOOKUP(A371,Tabla2[#Data],2,0),"")</f>
        <v>JUAN MANUEL CARRASCO</v>
      </c>
      <c r="C371" s="144" t="str">
        <f>+IFERROR(VLOOKUP(A371,Tabla2[#Data],3,0),"")</f>
        <v>Ayudante II M</v>
      </c>
      <c r="D371" s="144">
        <v>369</v>
      </c>
      <c r="E371" s="144">
        <v>43864</v>
      </c>
      <c r="F371" s="144" t="str">
        <f>+IFERROR(VLOOKUP(WEEKDAY(E371),Catalogo!$F$1:$G$7,2,0),"")</f>
        <v>LUNES</v>
      </c>
      <c r="G371" s="144" t="s">
        <v>291</v>
      </c>
      <c r="H371" s="144"/>
      <c r="I371" s="144">
        <v>35</v>
      </c>
      <c r="J371" s="144"/>
      <c r="K371" s="144"/>
      <c r="L371" s="144">
        <f>SUM(Tabla1[[#This Row],[Desayuno C$ 25]:[Transporte]])</f>
        <v>35</v>
      </c>
    </row>
    <row r="372" spans="1:12" x14ac:dyDescent="0.25">
      <c r="A372" s="144">
        <v>209508</v>
      </c>
      <c r="B372" s="144" t="str">
        <f>+IFERROR(VLOOKUP(A372,Tabla2[#Data],2,0),"")</f>
        <v>ERNESTO GREGORIO RIOS URBINA</v>
      </c>
      <c r="C372" s="144" t="str">
        <f>+IFERROR(VLOOKUP(A372,Tabla2[#Data],3,0),"")</f>
        <v>Ayudante II M</v>
      </c>
      <c r="D372" s="144">
        <v>370</v>
      </c>
      <c r="E372" s="144">
        <v>43864</v>
      </c>
      <c r="F372" s="144" t="str">
        <f>+IFERROR(VLOOKUP(WEEKDAY(E372),Catalogo!$F$1:$G$7,2,0),"")</f>
        <v>LUNES</v>
      </c>
      <c r="G372" s="144" t="s">
        <v>219</v>
      </c>
      <c r="H372" s="144"/>
      <c r="I372" s="144">
        <v>65</v>
      </c>
      <c r="J372" s="144"/>
      <c r="K372" s="144"/>
      <c r="L372" s="144">
        <f>SUM(Tabla1[[#This Row],[Desayuno C$ 25]:[Transporte]])</f>
        <v>65</v>
      </c>
    </row>
    <row r="373" spans="1:12" x14ac:dyDescent="0.25">
      <c r="A373" s="144">
        <v>202098</v>
      </c>
      <c r="B373" s="144" t="str">
        <f>+IFERROR(VLOOKUP(A373,Tabla2[#Data],2,0),"")</f>
        <v>GILBERTO JESUS POMARES MARTINEZ</v>
      </c>
      <c r="C373" s="144" t="str">
        <f>+IFERROR(VLOOKUP(A373,Tabla2[#Data],3,0),"")</f>
        <v>Ayudante II M</v>
      </c>
      <c r="D373" s="144">
        <v>371</v>
      </c>
      <c r="E373" s="144">
        <v>43864</v>
      </c>
      <c r="F373" s="144" t="str">
        <f>+IFERROR(VLOOKUP(WEEKDAY(E373),Catalogo!$F$1:$G$7,2,0),"")</f>
        <v>LUNES</v>
      </c>
      <c r="G373" s="144" t="s">
        <v>294</v>
      </c>
      <c r="H373" s="144"/>
      <c r="I373" s="144">
        <v>65</v>
      </c>
      <c r="J373" s="144"/>
      <c r="K373" s="144"/>
      <c r="L373" s="144">
        <f>SUM(Tabla1[[#This Row],[Desayuno C$ 25]:[Transporte]])</f>
        <v>65</v>
      </c>
    </row>
    <row r="374" spans="1:12" x14ac:dyDescent="0.25">
      <c r="A374" s="144">
        <v>213032</v>
      </c>
      <c r="B374" s="144" t="str">
        <f>+IFERROR(VLOOKUP(A374,Tabla2[#Data],2,0),"")</f>
        <v>JORGE LUIS GONZALEZ LOPEZ</v>
      </c>
      <c r="C374" s="144" t="str">
        <f>+IFERROR(VLOOKUP(A374,Tabla2[#Data],3,0),"")</f>
        <v>Ayudante II M</v>
      </c>
      <c r="D374" s="144">
        <v>372</v>
      </c>
      <c r="E374" s="144">
        <v>43864</v>
      </c>
      <c r="F374" s="144" t="str">
        <f>+IFERROR(VLOOKUP(WEEKDAY(E374),Catalogo!$F$1:$G$7,2,0),"")</f>
        <v>LUNES</v>
      </c>
      <c r="G374" s="144" t="s">
        <v>291</v>
      </c>
      <c r="H374" s="144"/>
      <c r="I374" s="144">
        <v>35</v>
      </c>
      <c r="J374" s="144"/>
      <c r="K374" s="144"/>
      <c r="L374" s="144">
        <f>SUM(Tabla1[[#This Row],[Desayuno C$ 25]:[Transporte]])</f>
        <v>35</v>
      </c>
    </row>
    <row r="375" spans="1:12" x14ac:dyDescent="0.25">
      <c r="A375" s="144">
        <v>201033</v>
      </c>
      <c r="B375" s="144" t="str">
        <f>+IFERROR(VLOOKUP(A375,Tabla2[#Data],2,0),"")</f>
        <v>MARCOS FRANCISCO ALTAMIRANO CANDIA</v>
      </c>
      <c r="C375" s="144" t="str">
        <f>+IFERROR(VLOOKUP(A375,Tabla2[#Data],3,0),"")</f>
        <v>Ayudante II M</v>
      </c>
      <c r="D375" s="144">
        <v>373</v>
      </c>
      <c r="E375" s="144">
        <v>43865</v>
      </c>
      <c r="F375" s="144" t="str">
        <f>+IFERROR(VLOOKUP(WEEKDAY(E375),Catalogo!$F$1:$G$7,2,0),"")</f>
        <v>MARTES</v>
      </c>
      <c r="G375" s="144" t="s">
        <v>294</v>
      </c>
      <c r="H375" s="144"/>
      <c r="I375" s="144">
        <v>65</v>
      </c>
      <c r="J375" s="144"/>
      <c r="K375" s="144"/>
      <c r="L375" s="144">
        <f>SUM(Tabla1[[#This Row],[Desayuno C$ 25]:[Transporte]])</f>
        <v>65</v>
      </c>
    </row>
    <row r="376" spans="1:12" x14ac:dyDescent="0.25">
      <c r="A376" s="144">
        <v>204784</v>
      </c>
      <c r="B376" s="144" t="str">
        <f>+IFERROR(VLOOKUP(A376,Tabla2[#Data],2,0),"")</f>
        <v>ELVER ANTONIO SOMARRIBA CHAVARRIA</v>
      </c>
      <c r="C376" s="144" t="str">
        <f>+IFERROR(VLOOKUP(A376,Tabla2[#Data],3,0),"")</f>
        <v>Ayudante II M</v>
      </c>
      <c r="D376" s="144">
        <v>374</v>
      </c>
      <c r="E376" s="144">
        <v>43865</v>
      </c>
      <c r="F376" s="144" t="str">
        <f>+IFERROR(VLOOKUP(WEEKDAY(E376),Catalogo!$F$1:$G$7,2,0),"")</f>
        <v>MARTES</v>
      </c>
      <c r="G376" s="144" t="s">
        <v>290</v>
      </c>
      <c r="H376" s="144"/>
      <c r="I376" s="144">
        <v>35</v>
      </c>
      <c r="J376" s="144"/>
      <c r="K376" s="144"/>
      <c r="L376" s="144">
        <f>SUM(Tabla1[[#This Row],[Desayuno C$ 25]:[Transporte]])</f>
        <v>35</v>
      </c>
    </row>
    <row r="377" spans="1:12" x14ac:dyDescent="0.25">
      <c r="A377" s="144">
        <v>201130</v>
      </c>
      <c r="B377" s="144" t="str">
        <f>+IFERROR(VLOOKUP(A377,Tabla2[#Data],2,0),"")</f>
        <v>JUAN MANUEL CARRASCO</v>
      </c>
      <c r="C377" s="144" t="str">
        <f>+IFERROR(VLOOKUP(A377,Tabla2[#Data],3,0),"")</f>
        <v>Ayudante II M</v>
      </c>
      <c r="D377" s="144">
        <v>375</v>
      </c>
      <c r="E377" s="144">
        <v>43865</v>
      </c>
      <c r="F377" s="144" t="str">
        <f>+IFERROR(VLOOKUP(WEEKDAY(E377),Catalogo!$F$1:$G$7,2,0),"")</f>
        <v>MARTES</v>
      </c>
      <c r="G377" s="144" t="s">
        <v>219</v>
      </c>
      <c r="H377" s="144"/>
      <c r="I377" s="144">
        <v>65</v>
      </c>
      <c r="J377" s="144"/>
      <c r="K377" s="144"/>
      <c r="L377" s="144">
        <f>SUM(Tabla1[[#This Row],[Desayuno C$ 25]:[Transporte]])</f>
        <v>65</v>
      </c>
    </row>
    <row r="378" spans="1:12" x14ac:dyDescent="0.25">
      <c r="A378" s="144">
        <v>212221</v>
      </c>
      <c r="B378" s="144" t="str">
        <f>+IFERROR(VLOOKUP(A378,Tabla2[#Data],2,0),"")</f>
        <v>SANTOS ALBERTO MENDOZA ZAPATA</v>
      </c>
      <c r="C378" s="144" t="str">
        <f>+IFERROR(VLOOKUP(A378,Tabla2[#Data],3,0),"")</f>
        <v>Ayudante II M</v>
      </c>
      <c r="D378" s="144">
        <v>376</v>
      </c>
      <c r="E378" s="144">
        <v>43865</v>
      </c>
      <c r="F378" s="144" t="str">
        <f>+IFERROR(VLOOKUP(WEEKDAY(E378),Catalogo!$F$1:$G$7,2,0),"")</f>
        <v>MARTES</v>
      </c>
      <c r="G378" s="144" t="s">
        <v>322</v>
      </c>
      <c r="H378" s="144"/>
      <c r="I378" s="144">
        <v>35</v>
      </c>
      <c r="J378" s="144"/>
      <c r="K378" s="144"/>
      <c r="L378" s="144">
        <f>SUM(Tabla1[[#This Row],[Desayuno C$ 25]:[Transporte]])</f>
        <v>35</v>
      </c>
    </row>
    <row r="379" spans="1:12" x14ac:dyDescent="0.25">
      <c r="A379" s="144">
        <v>213027</v>
      </c>
      <c r="B379" s="144" t="str">
        <f>+IFERROR(VLOOKUP(A379,Tabla2[#Data],2,0),"")</f>
        <v>ERICK ADAN ROJAS GUEVARA</v>
      </c>
      <c r="C379" s="144" t="str">
        <f>+IFERROR(VLOOKUP(A379,Tabla2[#Data],3,0),"")</f>
        <v>Ayudante II M</v>
      </c>
      <c r="D379" s="144">
        <v>377</v>
      </c>
      <c r="E379" s="144">
        <v>43865</v>
      </c>
      <c r="F379" s="144" t="str">
        <f>+IFERROR(VLOOKUP(WEEKDAY(E379),Catalogo!$F$1:$G$7,2,0),"")</f>
        <v>MARTES</v>
      </c>
      <c r="G379" s="144" t="s">
        <v>219</v>
      </c>
      <c r="H379" s="144"/>
      <c r="I379" s="144">
        <v>65</v>
      </c>
      <c r="J379" s="144"/>
      <c r="K379" s="144"/>
      <c r="L379" s="144">
        <f>SUM(Tabla1[[#This Row],[Desayuno C$ 25]:[Transporte]])</f>
        <v>65</v>
      </c>
    </row>
    <row r="380" spans="1:12" x14ac:dyDescent="0.25">
      <c r="A380" s="144">
        <v>208496</v>
      </c>
      <c r="B380" s="144" t="str">
        <f>+IFERROR(VLOOKUP(A380,Tabla2[#Data],2,0),"")</f>
        <v>FELIX ANTONIO GONZALEZ</v>
      </c>
      <c r="C380" s="144" t="str">
        <f>+IFERROR(VLOOKUP(A380,Tabla2[#Data],3,0),"")</f>
        <v>Ayudante II M</v>
      </c>
      <c r="D380" s="144">
        <v>378</v>
      </c>
      <c r="E380" s="144">
        <v>43865</v>
      </c>
      <c r="F380" s="144" t="str">
        <f>+IFERROR(VLOOKUP(WEEKDAY(E380),Catalogo!$F$1:$G$7,2,0),"")</f>
        <v>MARTES</v>
      </c>
      <c r="G380" s="144" t="s">
        <v>294</v>
      </c>
      <c r="H380" s="144"/>
      <c r="I380" s="144">
        <v>65</v>
      </c>
      <c r="J380" s="144"/>
      <c r="K380" s="144"/>
      <c r="L380" s="144">
        <f>SUM(Tabla1[[#This Row],[Desayuno C$ 25]:[Transporte]])</f>
        <v>65</v>
      </c>
    </row>
    <row r="381" spans="1:12" x14ac:dyDescent="0.25">
      <c r="A381" s="144">
        <v>203339</v>
      </c>
      <c r="B381" s="144" t="str">
        <f>+IFERROR(VLOOKUP(A381,Tabla2[#Data],2,0),"")</f>
        <v>RAFAEL GUADALUPE HERRERA GOMEZ</v>
      </c>
      <c r="C381" s="144" t="str">
        <f>+IFERROR(VLOOKUP(A381,Tabla2[#Data],3,0),"")</f>
        <v>Ayudante II M</v>
      </c>
      <c r="D381" s="144">
        <v>379</v>
      </c>
      <c r="E381" s="144">
        <v>43865</v>
      </c>
      <c r="F381" s="144" t="str">
        <f>+IFERROR(VLOOKUP(WEEKDAY(E381),Catalogo!$F$1:$G$7,2,0),"")</f>
        <v>MARTES</v>
      </c>
      <c r="G381" s="144" t="s">
        <v>294</v>
      </c>
      <c r="H381" s="144"/>
      <c r="I381" s="144">
        <v>65</v>
      </c>
      <c r="J381" s="144"/>
      <c r="K381" s="144"/>
      <c r="L381" s="144">
        <f>SUM(Tabla1[[#This Row],[Desayuno C$ 25]:[Transporte]])</f>
        <v>65</v>
      </c>
    </row>
    <row r="382" spans="1:12" x14ac:dyDescent="0.25">
      <c r="A382" s="144">
        <v>203609</v>
      </c>
      <c r="B382" s="144" t="str">
        <f>+IFERROR(VLOOKUP(A382,Tabla2[#Data],2,0),"")</f>
        <v>ORLANDO JOSE BLANCO MEJIA</v>
      </c>
      <c r="C382" s="144" t="str">
        <f>+IFERROR(VLOOKUP(A382,Tabla2[#Data],3,0),"")</f>
        <v>Ayudante II M</v>
      </c>
      <c r="D382" s="144">
        <v>380</v>
      </c>
      <c r="E382" s="144">
        <v>43865</v>
      </c>
      <c r="F382" s="144" t="str">
        <f>+IFERROR(VLOOKUP(WEEKDAY(E382),Catalogo!$F$1:$G$7,2,0),"")</f>
        <v>MARTES</v>
      </c>
      <c r="G382" s="144" t="s">
        <v>294</v>
      </c>
      <c r="H382" s="144"/>
      <c r="I382" s="144">
        <v>65</v>
      </c>
      <c r="J382" s="144"/>
      <c r="K382" s="144"/>
      <c r="L382" s="144">
        <f>SUM(Tabla1[[#This Row],[Desayuno C$ 25]:[Transporte]])</f>
        <v>65</v>
      </c>
    </row>
    <row r="383" spans="1:12" x14ac:dyDescent="0.25">
      <c r="A383" s="144">
        <v>210787</v>
      </c>
      <c r="B383" s="144" t="str">
        <f>+IFERROR(VLOOKUP(A383,Tabla2[#Data],2,0),"")</f>
        <v>ABRAHAM DE JESUS VELASQUEZ MEJIA</v>
      </c>
      <c r="C383" s="144" t="str">
        <f>+IFERROR(VLOOKUP(A383,Tabla2[#Data],3,0),"")</f>
        <v>Ayudante II M</v>
      </c>
      <c r="D383" s="144">
        <v>381</v>
      </c>
      <c r="E383" s="144">
        <v>43865</v>
      </c>
      <c r="F383" s="144" t="str">
        <f>+IFERROR(VLOOKUP(WEEKDAY(E383),Catalogo!$F$1:$G$7,2,0),"")</f>
        <v>MARTES</v>
      </c>
      <c r="G383" s="144" t="s">
        <v>291</v>
      </c>
      <c r="H383" s="144"/>
      <c r="I383" s="144">
        <v>35</v>
      </c>
      <c r="J383" s="144"/>
      <c r="K383" s="144"/>
      <c r="L383" s="144">
        <f>SUM(Tabla1[[#This Row],[Desayuno C$ 25]:[Transporte]])</f>
        <v>35</v>
      </c>
    </row>
    <row r="384" spans="1:12" x14ac:dyDescent="0.25">
      <c r="A384" s="144">
        <v>212409</v>
      </c>
      <c r="B384" s="144" t="str">
        <f>+IFERROR(VLOOKUP(A384,Tabla2[#Data],2,0),"")</f>
        <v>GERALD JUNIOR MIRANDA LARIOS</v>
      </c>
      <c r="C384" s="144" t="str">
        <f>+IFERROR(VLOOKUP(A384,Tabla2[#Data],3,0),"")</f>
        <v>Ayudante II M</v>
      </c>
      <c r="D384" s="144">
        <v>382</v>
      </c>
      <c r="E384" s="144">
        <v>43866</v>
      </c>
      <c r="F384" s="144" t="str">
        <f>+IFERROR(VLOOKUP(WEEKDAY(E384),Catalogo!$F$1:$G$7,2,0),"")</f>
        <v>MIÉRCOLES</v>
      </c>
      <c r="G384" s="144" t="s">
        <v>294</v>
      </c>
      <c r="H384" s="144"/>
      <c r="I384" s="144">
        <v>65</v>
      </c>
      <c r="J384" s="144"/>
      <c r="K384" s="144"/>
      <c r="L384" s="144">
        <f>SUM(Tabla1[[#This Row],[Desayuno C$ 25]:[Transporte]])</f>
        <v>65</v>
      </c>
    </row>
    <row r="385" spans="1:12" x14ac:dyDescent="0.25">
      <c r="A385" s="144">
        <v>211888</v>
      </c>
      <c r="B385" s="144" t="str">
        <f>+IFERROR(VLOOKUP(A385,Tabla2[#Data],2,0),"")</f>
        <v>RICARDO ANTONIO AQUINO CHAVARRIA</v>
      </c>
      <c r="C385" s="144" t="str">
        <f>+IFERROR(VLOOKUP(A385,Tabla2[#Data],3,0),"")</f>
        <v>Ayudante II M</v>
      </c>
      <c r="D385" s="144">
        <v>383</v>
      </c>
      <c r="E385" s="144">
        <v>43866</v>
      </c>
      <c r="F385" s="144" t="str">
        <f>+IFERROR(VLOOKUP(WEEKDAY(E385),Catalogo!$F$1:$G$7,2,0),"")</f>
        <v>MIÉRCOLES</v>
      </c>
      <c r="G385" s="144" t="s">
        <v>322</v>
      </c>
      <c r="H385" s="144"/>
      <c r="I385" s="144">
        <v>35</v>
      </c>
      <c r="J385" s="144"/>
      <c r="K385" s="144"/>
      <c r="L385" s="144">
        <f>SUM(Tabla1[[#This Row],[Desayuno C$ 25]:[Transporte]])</f>
        <v>35</v>
      </c>
    </row>
    <row r="386" spans="1:12" x14ac:dyDescent="0.25">
      <c r="A386" s="144">
        <v>201130</v>
      </c>
      <c r="B386" s="144" t="str">
        <f>+IFERROR(VLOOKUP(A386,Tabla2[#Data],2,0),"")</f>
        <v>JUAN MANUEL CARRASCO</v>
      </c>
      <c r="C386" s="144" t="str">
        <f>+IFERROR(VLOOKUP(A386,Tabla2[#Data],3,0),"")</f>
        <v>Ayudante II M</v>
      </c>
      <c r="D386" s="144">
        <v>384</v>
      </c>
      <c r="E386" s="144">
        <v>43866</v>
      </c>
      <c r="F386" s="144" t="str">
        <f>+IFERROR(VLOOKUP(WEEKDAY(E386),Catalogo!$F$1:$G$7,2,0),"")</f>
        <v>MIÉRCOLES</v>
      </c>
      <c r="G386" s="144" t="s">
        <v>294</v>
      </c>
      <c r="H386" s="144"/>
      <c r="I386" s="144">
        <v>65</v>
      </c>
      <c r="J386" s="144"/>
      <c r="K386" s="144"/>
      <c r="L386" s="144">
        <f>SUM(Tabla1[[#This Row],[Desayuno C$ 25]:[Transporte]])</f>
        <v>65</v>
      </c>
    </row>
    <row r="387" spans="1:12" x14ac:dyDescent="0.25">
      <c r="A387" s="144">
        <v>212223</v>
      </c>
      <c r="B387" s="144" t="str">
        <f>+IFERROR(VLOOKUP(A387,Tabla2[#Data],2,0),"")</f>
        <v>GERSSON OSMIR AVELARES RAMIREZ</v>
      </c>
      <c r="C387" s="144" t="str">
        <f>+IFERROR(VLOOKUP(A387,Tabla2[#Data],3,0),"")</f>
        <v>Ayudante II M</v>
      </c>
      <c r="D387" s="144">
        <v>385</v>
      </c>
      <c r="E387" s="144">
        <v>43866</v>
      </c>
      <c r="F387" s="144" t="str">
        <f>+IFERROR(VLOOKUP(WEEKDAY(E387),Catalogo!$F$1:$G$7,2,0),"")</f>
        <v>MIÉRCOLES</v>
      </c>
      <c r="G387" s="144" t="s">
        <v>219</v>
      </c>
      <c r="H387" s="144"/>
      <c r="I387" s="144">
        <v>65</v>
      </c>
      <c r="J387" s="144"/>
      <c r="K387" s="144"/>
      <c r="L387" s="144">
        <f>SUM(Tabla1[[#This Row],[Desayuno C$ 25]:[Transporte]])</f>
        <v>65</v>
      </c>
    </row>
    <row r="388" spans="1:12" x14ac:dyDescent="0.25">
      <c r="A388" s="144">
        <v>213365</v>
      </c>
      <c r="B388" s="144" t="str">
        <f>+IFERROR(VLOOKUP(A388,Tabla2[#Data],2,0),"")</f>
        <v>JORGE LUIS HERRERA NOVOA</v>
      </c>
      <c r="C388" s="144" t="str">
        <f>+IFERROR(VLOOKUP(A388,Tabla2[#Data],3,0),"")</f>
        <v>Ayudante II M</v>
      </c>
      <c r="D388" s="144">
        <v>386</v>
      </c>
      <c r="E388" s="144">
        <v>43866</v>
      </c>
      <c r="F388" s="144" t="str">
        <f>+IFERROR(VLOOKUP(WEEKDAY(E388),Catalogo!$F$1:$G$7,2,0),"")</f>
        <v>MIÉRCOLES</v>
      </c>
      <c r="G388" s="144" t="s">
        <v>290</v>
      </c>
      <c r="H388" s="144"/>
      <c r="I388" s="144">
        <v>35</v>
      </c>
      <c r="J388" s="144"/>
      <c r="K388" s="144"/>
      <c r="L388" s="144">
        <f>SUM(Tabla1[[#This Row],[Desayuno C$ 25]:[Transporte]])</f>
        <v>35</v>
      </c>
    </row>
    <row r="389" spans="1:12" x14ac:dyDescent="0.25">
      <c r="A389" s="144">
        <v>212223</v>
      </c>
      <c r="B389" s="144" t="str">
        <f>+IFERROR(VLOOKUP(A389,Tabla2[#Data],2,0),"")</f>
        <v>GERSSON OSMIR AVELARES RAMIREZ</v>
      </c>
      <c r="C389" s="144" t="str">
        <f>+IFERROR(VLOOKUP(A389,Tabla2[#Data],3,0),"")</f>
        <v>Ayudante II M</v>
      </c>
      <c r="D389" s="144">
        <v>387</v>
      </c>
      <c r="E389" s="144">
        <v>43867</v>
      </c>
      <c r="F389" s="144" t="str">
        <f>+IFERROR(VLOOKUP(WEEKDAY(E389),Catalogo!$F$1:$G$7,2,0),"")</f>
        <v>JUEVES</v>
      </c>
      <c r="G389" s="144" t="s">
        <v>294</v>
      </c>
      <c r="H389" s="144"/>
      <c r="I389" s="144">
        <v>65</v>
      </c>
      <c r="J389" s="144"/>
      <c r="K389" s="144"/>
      <c r="L389" s="144">
        <f>SUM(Tabla1[[#This Row],[Desayuno C$ 25]:[Transporte]])</f>
        <v>65</v>
      </c>
    </row>
    <row r="390" spans="1:12" x14ac:dyDescent="0.25">
      <c r="A390" s="144">
        <v>210938</v>
      </c>
      <c r="B390" s="144" t="str">
        <f>+IFERROR(VLOOKUP(A390,Tabla2[#Data],2,0),"")</f>
        <v>DENIS ENRIQUE SANCHEZ ORTIZ</v>
      </c>
      <c r="C390" s="144" t="str">
        <f>+IFERROR(VLOOKUP(A390,Tabla2[#Data],3,0),"")</f>
        <v>Ayudante II M</v>
      </c>
      <c r="D390" s="144">
        <v>388</v>
      </c>
      <c r="E390" s="144">
        <v>43867</v>
      </c>
      <c r="F390" s="144" t="str">
        <f>+IFERROR(VLOOKUP(WEEKDAY(E390),Catalogo!$F$1:$G$7,2,0),"")</f>
        <v>JUEVES</v>
      </c>
      <c r="G390" s="144" t="s">
        <v>290</v>
      </c>
      <c r="H390" s="144"/>
      <c r="I390" s="144">
        <v>35</v>
      </c>
      <c r="J390" s="144"/>
      <c r="K390" s="144"/>
      <c r="L390" s="144">
        <f>SUM(Tabla1[[#This Row],[Desayuno C$ 25]:[Transporte]])</f>
        <v>35</v>
      </c>
    </row>
    <row r="391" spans="1:12" x14ac:dyDescent="0.25">
      <c r="A391" s="144">
        <v>211341</v>
      </c>
      <c r="B391" s="144" t="str">
        <f>+IFERROR(VLOOKUP(A391,Tabla2[#Data],2,0),"")</f>
        <v>ALEJANDRO MARTINEZ ROMERO</v>
      </c>
      <c r="C391" s="144" t="str">
        <f>+IFERROR(VLOOKUP(A391,Tabla2[#Data],3,0),"")</f>
        <v>Ayudante II M</v>
      </c>
      <c r="D391" s="144">
        <v>389</v>
      </c>
      <c r="E391" s="144">
        <v>43868</v>
      </c>
      <c r="F391" s="144" t="str">
        <f>+IFERROR(VLOOKUP(WEEKDAY(E391),Catalogo!$F$1:$G$7,2,0),"")</f>
        <v>VIERNES</v>
      </c>
      <c r="G391" s="144" t="s">
        <v>294</v>
      </c>
      <c r="H391" s="144"/>
      <c r="I391" s="144">
        <v>65</v>
      </c>
      <c r="J391" s="144"/>
      <c r="K391" s="144"/>
      <c r="L391" s="144">
        <f>SUM(Tabla1[[#This Row],[Desayuno C$ 25]:[Transporte]])</f>
        <v>65</v>
      </c>
    </row>
    <row r="392" spans="1:12" x14ac:dyDescent="0.25">
      <c r="A392" s="144">
        <v>213029</v>
      </c>
      <c r="B392" s="144" t="str">
        <f>+IFERROR(VLOOKUP(A392,Tabla2[#Data],2,0),"")</f>
        <v>MAYNOR RAMIRO PALACIO CRUZ</v>
      </c>
      <c r="C392" s="144" t="str">
        <f>+IFERROR(VLOOKUP(A392,Tabla2[#Data],3,0),"")</f>
        <v>Ayudante II M</v>
      </c>
      <c r="D392" s="144">
        <v>390</v>
      </c>
      <c r="E392" s="144">
        <v>43868</v>
      </c>
      <c r="F392" s="144" t="str">
        <f>+IFERROR(VLOOKUP(WEEKDAY(E392),Catalogo!$F$1:$G$7,2,0),"")</f>
        <v>VIERNES</v>
      </c>
      <c r="G392" s="144" t="s">
        <v>294</v>
      </c>
      <c r="H392" s="144"/>
      <c r="I392" s="144">
        <v>65</v>
      </c>
      <c r="J392" s="144"/>
      <c r="K392" s="144"/>
      <c r="L392" s="144">
        <f>SUM(Tabla1[[#This Row],[Desayuno C$ 25]:[Transporte]])</f>
        <v>65</v>
      </c>
    </row>
    <row r="393" spans="1:12" x14ac:dyDescent="0.25">
      <c r="A393" s="144">
        <v>203363</v>
      </c>
      <c r="B393" s="144" t="str">
        <f>+IFERROR(VLOOKUP(A393,Tabla2[#Data],2,0),"")</f>
        <v>JOSE MARIA BONILLA</v>
      </c>
      <c r="C393" s="144" t="str">
        <f>+IFERROR(VLOOKUP(A393,Tabla2[#Data],3,0),"")</f>
        <v>Ayudante II M</v>
      </c>
      <c r="D393" s="144">
        <v>391</v>
      </c>
      <c r="E393" s="144">
        <v>43868</v>
      </c>
      <c r="F393" s="144" t="str">
        <f>+IFERROR(VLOOKUP(WEEKDAY(E393),Catalogo!$F$1:$G$7,2,0),"")</f>
        <v>VIERNES</v>
      </c>
      <c r="G393" s="144" t="s">
        <v>294</v>
      </c>
      <c r="H393" s="144"/>
      <c r="I393" s="144">
        <v>65</v>
      </c>
      <c r="J393" s="144"/>
      <c r="K393" s="144"/>
      <c r="L393" s="144">
        <f>SUM(Tabla1[[#This Row],[Desayuno C$ 25]:[Transporte]])</f>
        <v>65</v>
      </c>
    </row>
    <row r="394" spans="1:12" x14ac:dyDescent="0.25">
      <c r="A394" s="144">
        <v>201130</v>
      </c>
      <c r="B394" s="144" t="str">
        <f>+IFERROR(VLOOKUP(A394,Tabla2[#Data],2,0),"")</f>
        <v>JUAN MANUEL CARRASCO</v>
      </c>
      <c r="C394" s="144" t="str">
        <f>+IFERROR(VLOOKUP(A394,Tabla2[#Data],3,0),"")</f>
        <v>Ayudante II M</v>
      </c>
      <c r="D394" s="144">
        <v>392</v>
      </c>
      <c r="E394" s="144">
        <v>43868</v>
      </c>
      <c r="F394" s="144" t="str">
        <f>+IFERROR(VLOOKUP(WEEKDAY(E394),Catalogo!$F$1:$G$7,2,0),"")</f>
        <v>VIERNES</v>
      </c>
      <c r="G394" s="144" t="s">
        <v>294</v>
      </c>
      <c r="H394" s="144"/>
      <c r="I394" s="144">
        <v>65</v>
      </c>
      <c r="J394" s="144"/>
      <c r="K394" s="144"/>
      <c r="L394" s="144">
        <f>SUM(Tabla1[[#This Row],[Desayuno C$ 25]:[Transporte]])</f>
        <v>65</v>
      </c>
    </row>
    <row r="395" spans="1:12" x14ac:dyDescent="0.25">
      <c r="A395" s="144">
        <v>213032</v>
      </c>
      <c r="B395" s="144" t="str">
        <f>+IFERROR(VLOOKUP(A395,Tabla2[#Data],2,0),"")</f>
        <v>JORGE LUIS GONZALEZ LOPEZ</v>
      </c>
      <c r="C395" s="144" t="str">
        <f>+IFERROR(VLOOKUP(A395,Tabla2[#Data],3,0),"")</f>
        <v>Ayudante II M</v>
      </c>
      <c r="D395" s="144">
        <v>393</v>
      </c>
      <c r="E395" s="144">
        <v>43868</v>
      </c>
      <c r="F395" s="144" t="str">
        <f>+IFERROR(VLOOKUP(WEEKDAY(E395),Catalogo!$F$1:$G$7,2,0),"")</f>
        <v>VIERNES</v>
      </c>
      <c r="G395" s="144" t="s">
        <v>290</v>
      </c>
      <c r="H395" s="144"/>
      <c r="I395" s="144">
        <v>35</v>
      </c>
      <c r="J395" s="144"/>
      <c r="K395" s="144"/>
      <c r="L395" s="144">
        <f>SUM(Tabla1[[#This Row],[Desayuno C$ 25]:[Transporte]])</f>
        <v>35</v>
      </c>
    </row>
    <row r="396" spans="1:12" x14ac:dyDescent="0.25">
      <c r="A396" s="144">
        <v>213275</v>
      </c>
      <c r="B396" s="144" t="str">
        <f>+IFERROR(VLOOKUP(A396,Tabla2[#Data],2,0),"")</f>
        <v>JUAN DE DIOS ROJAS</v>
      </c>
      <c r="C396" s="144" t="str">
        <f>+IFERROR(VLOOKUP(A396,Tabla2[#Data],3,0),"")</f>
        <v>Ayudante II M</v>
      </c>
      <c r="D396" s="144">
        <v>394</v>
      </c>
      <c r="E396" s="144">
        <v>43868</v>
      </c>
      <c r="F396" s="144" t="str">
        <f>+IFERROR(VLOOKUP(WEEKDAY(E396),Catalogo!$F$1:$G$7,2,0),"")</f>
        <v>VIERNES</v>
      </c>
      <c r="G396" s="144" t="s">
        <v>290</v>
      </c>
      <c r="H396" s="144"/>
      <c r="I396" s="144">
        <v>35</v>
      </c>
      <c r="J396" s="144"/>
      <c r="K396" s="144"/>
      <c r="L396" s="144">
        <f>SUM(Tabla1[[#This Row],[Desayuno C$ 25]:[Transporte]])</f>
        <v>35</v>
      </c>
    </row>
    <row r="397" spans="1:12" x14ac:dyDescent="0.25">
      <c r="A397" s="144">
        <v>208496</v>
      </c>
      <c r="B397" s="144" t="str">
        <f>+IFERROR(VLOOKUP(A397,Tabla2[#Data],2,0),"")</f>
        <v>FELIX ANTONIO GONZALEZ</v>
      </c>
      <c r="C397" s="144" t="str">
        <f>+IFERROR(VLOOKUP(A397,Tabla2[#Data],3,0),"")</f>
        <v>Ayudante II M</v>
      </c>
      <c r="D397" s="144">
        <v>395</v>
      </c>
      <c r="E397" s="144">
        <v>43868</v>
      </c>
      <c r="F397" s="144" t="str">
        <f>+IFERROR(VLOOKUP(WEEKDAY(E397),Catalogo!$F$1:$G$7,2,0),"")</f>
        <v>VIERNES</v>
      </c>
      <c r="G397" s="144" t="s">
        <v>322</v>
      </c>
      <c r="H397" s="144"/>
      <c r="I397" s="144">
        <v>35</v>
      </c>
      <c r="J397" s="144"/>
      <c r="K397" s="144"/>
      <c r="L397" s="144">
        <f>SUM(Tabla1[[#This Row],[Desayuno C$ 25]:[Transporte]])</f>
        <v>35</v>
      </c>
    </row>
    <row r="398" spans="1:12" x14ac:dyDescent="0.25">
      <c r="A398" s="144">
        <v>204118</v>
      </c>
      <c r="B398" s="144" t="str">
        <f>+IFERROR(VLOOKUP(A398,Tabla2[#Data],2,0),"")</f>
        <v>YLARIO ANTONIO PALMA ZAPATA</v>
      </c>
      <c r="C398" s="144" t="str">
        <f>+IFERROR(VLOOKUP(A398,Tabla2[#Data],3,0),"")</f>
        <v>Operador de Cabezal I</v>
      </c>
      <c r="D398" s="144">
        <v>396</v>
      </c>
      <c r="E398" s="144">
        <v>43855</v>
      </c>
      <c r="F398" s="144" t="str">
        <f>+IFERROR(VLOOKUP(WEEKDAY(E398),Catalogo!$F$1:$G$7,2,0),"")</f>
        <v>SÁBADO</v>
      </c>
      <c r="G398" s="144" t="s">
        <v>218</v>
      </c>
      <c r="H398" s="144"/>
      <c r="I398" s="144">
        <v>35</v>
      </c>
      <c r="J398" s="144"/>
      <c r="K398" s="144"/>
      <c r="L398" s="144">
        <f>SUM(Tabla1[[#This Row],[Desayuno C$ 25]:[Transporte]])</f>
        <v>35</v>
      </c>
    </row>
    <row r="399" spans="1:12" x14ac:dyDescent="0.25">
      <c r="A399" s="144">
        <v>203689</v>
      </c>
      <c r="B399" s="144" t="str">
        <f>+IFERROR(VLOOKUP(A399,Tabla2[#Data],2,0),"")</f>
        <v>FERNANDO ARIEL SOMARRIBA MENDOZA</v>
      </c>
      <c r="C399" s="144" t="str">
        <f>+IFERROR(VLOOKUP(A399,Tabla2[#Data],3,0),"")</f>
        <v>Operador de Cabezal I</v>
      </c>
      <c r="D399" s="144">
        <v>397</v>
      </c>
      <c r="E399" s="144">
        <v>43855</v>
      </c>
      <c r="F399" s="144" t="str">
        <f>+IFERROR(VLOOKUP(WEEKDAY(E399),Catalogo!$F$1:$G$7,2,0),"")</f>
        <v>SÁBADO</v>
      </c>
      <c r="G399" s="144" t="s">
        <v>292</v>
      </c>
      <c r="H399" s="144"/>
      <c r="I399" s="144">
        <v>65</v>
      </c>
      <c r="J399" s="144"/>
      <c r="K399" s="144"/>
      <c r="L399" s="144">
        <f>SUM(Tabla1[[#This Row],[Desayuno C$ 25]:[Transporte]])</f>
        <v>65</v>
      </c>
    </row>
    <row r="400" spans="1:12" x14ac:dyDescent="0.25">
      <c r="A400" s="144">
        <v>211319</v>
      </c>
      <c r="B400" s="144" t="str">
        <f>+IFERROR(VLOOKUP(A400,Tabla2[#Data],2,0),"")</f>
        <v>FREDY JOSE ESTRADA CASTRO</v>
      </c>
      <c r="C400" s="144" t="str">
        <f>+IFERROR(VLOOKUP(A400,Tabla2[#Data],3,0),"")</f>
        <v>Operador de Cabezal I</v>
      </c>
      <c r="D400" s="144">
        <v>398</v>
      </c>
      <c r="E400" s="144">
        <v>43855</v>
      </c>
      <c r="F400" s="144" t="str">
        <f>+IFERROR(VLOOKUP(WEEKDAY(E400),Catalogo!$F$1:$G$7,2,0),"")</f>
        <v>SÁBADO</v>
      </c>
      <c r="G400" s="144" t="s">
        <v>292</v>
      </c>
      <c r="H400" s="144"/>
      <c r="I400" s="144">
        <v>65</v>
      </c>
      <c r="J400" s="144"/>
      <c r="K400" s="144"/>
      <c r="L400" s="144">
        <f>SUM(Tabla1[[#This Row],[Desayuno C$ 25]:[Transporte]])</f>
        <v>65</v>
      </c>
    </row>
    <row r="401" spans="1:12" x14ac:dyDescent="0.25">
      <c r="A401" s="144">
        <v>203391</v>
      </c>
      <c r="B401" s="144" t="str">
        <f>+IFERROR(VLOOKUP(A401,Tabla2[#Data],2,0),"")</f>
        <v>DARIO JOSE SANTAMARIA RAMIREZ</v>
      </c>
      <c r="C401" s="144" t="str">
        <f>+IFERROR(VLOOKUP(A401,Tabla2[#Data],3,0),"")</f>
        <v>Operador de Cabezal I</v>
      </c>
      <c r="D401" s="144">
        <v>399</v>
      </c>
      <c r="E401" s="144">
        <v>43855</v>
      </c>
      <c r="F401" s="144" t="str">
        <f>+IFERROR(VLOOKUP(WEEKDAY(E401),Catalogo!$F$1:$G$7,2,0),"")</f>
        <v>SÁBADO</v>
      </c>
      <c r="G401" s="144" t="s">
        <v>220</v>
      </c>
      <c r="H401" s="144"/>
      <c r="I401" s="144">
        <v>65</v>
      </c>
      <c r="J401" s="144"/>
      <c r="K401" s="144"/>
      <c r="L401" s="144">
        <f>SUM(Tabla1[[#This Row],[Desayuno C$ 25]:[Transporte]])</f>
        <v>65</v>
      </c>
    </row>
    <row r="402" spans="1:12" x14ac:dyDescent="0.25">
      <c r="A402" s="144">
        <v>203689</v>
      </c>
      <c r="B402" s="144" t="str">
        <f>+IFERROR(VLOOKUP(A402,Tabla2[#Data],2,0),"")</f>
        <v>FERNANDO ARIEL SOMARRIBA MENDOZA</v>
      </c>
      <c r="C402" s="144" t="str">
        <f>+IFERROR(VLOOKUP(A402,Tabla2[#Data],3,0),"")</f>
        <v>Operador de Cabezal I</v>
      </c>
      <c r="D402" s="144">
        <v>400</v>
      </c>
      <c r="E402" s="144">
        <v>43856</v>
      </c>
      <c r="F402" s="144" t="str">
        <f>+IFERROR(VLOOKUP(WEEKDAY(E402),Catalogo!$F$1:$G$7,2,0),"")</f>
        <v>DOMINGO</v>
      </c>
      <c r="G402" s="144" t="s">
        <v>292</v>
      </c>
      <c r="H402" s="144"/>
      <c r="I402" s="144">
        <v>65</v>
      </c>
      <c r="J402" s="144"/>
      <c r="K402" s="144"/>
      <c r="L402" s="144">
        <f>SUM(Tabla1[[#This Row],[Desayuno C$ 25]:[Transporte]])</f>
        <v>65</v>
      </c>
    </row>
    <row r="403" spans="1:12" x14ac:dyDescent="0.25">
      <c r="A403" s="144">
        <v>211319</v>
      </c>
      <c r="B403" s="144" t="str">
        <f>+IFERROR(VLOOKUP(A403,Tabla2[#Data],2,0),"")</f>
        <v>FREDY JOSE ESTRADA CASTRO</v>
      </c>
      <c r="C403" s="144" t="str">
        <f>+IFERROR(VLOOKUP(A403,Tabla2[#Data],3,0),"")</f>
        <v>Operador de Cabezal I</v>
      </c>
      <c r="D403" s="144">
        <v>401</v>
      </c>
      <c r="E403" s="144">
        <v>43856</v>
      </c>
      <c r="F403" s="144" t="str">
        <f>+IFERROR(VLOOKUP(WEEKDAY(E403),Catalogo!$F$1:$G$7,2,0),"")</f>
        <v>DOMINGO</v>
      </c>
      <c r="G403" s="144" t="s">
        <v>296</v>
      </c>
      <c r="H403" s="144"/>
      <c r="I403" s="144">
        <v>35</v>
      </c>
      <c r="J403" s="144"/>
      <c r="K403" s="144"/>
      <c r="L403" s="144">
        <f>SUM(Tabla1[[#This Row],[Desayuno C$ 25]:[Transporte]])</f>
        <v>35</v>
      </c>
    </row>
    <row r="404" spans="1:12" x14ac:dyDescent="0.25">
      <c r="A404" s="144">
        <v>204118</v>
      </c>
      <c r="B404" s="144" t="str">
        <f>+IFERROR(VLOOKUP(A404,Tabla2[#Data],2,0),"")</f>
        <v>YLARIO ANTONIO PALMA ZAPATA</v>
      </c>
      <c r="C404" s="144" t="str">
        <f>+IFERROR(VLOOKUP(A404,Tabla2[#Data],3,0),"")</f>
        <v>Operador de Cabezal I</v>
      </c>
      <c r="D404" s="144">
        <v>402</v>
      </c>
      <c r="E404" s="144">
        <v>43858</v>
      </c>
      <c r="F404" s="144" t="str">
        <f>+IFERROR(VLOOKUP(WEEKDAY(E404),Catalogo!$F$1:$G$7,2,0),"")</f>
        <v>MARTES</v>
      </c>
      <c r="G404" s="144" t="s">
        <v>218</v>
      </c>
      <c r="H404" s="144"/>
      <c r="I404" s="144">
        <v>35</v>
      </c>
      <c r="J404" s="144"/>
      <c r="K404" s="144"/>
      <c r="L404" s="144">
        <f>SUM(Tabla1[[#This Row],[Desayuno C$ 25]:[Transporte]])</f>
        <v>35</v>
      </c>
    </row>
    <row r="405" spans="1:12" x14ac:dyDescent="0.25">
      <c r="A405" s="144">
        <v>202192</v>
      </c>
      <c r="B405" s="144" t="str">
        <f>+IFERROR(VLOOKUP(A405,Tabla2[#Data],2,0),"")</f>
        <v>BOANERGES ESCALANTE PEREZ</v>
      </c>
      <c r="C405" s="144" t="str">
        <f>+IFERROR(VLOOKUP(A405,Tabla2[#Data],3,0),"")</f>
        <v>Operador  de Tractor III</v>
      </c>
      <c r="D405" s="144">
        <v>403</v>
      </c>
      <c r="E405" s="144">
        <v>43858</v>
      </c>
      <c r="F405" s="144" t="str">
        <f>+IFERROR(VLOOKUP(WEEKDAY(E405),Catalogo!$F$1:$G$7,2,0),"")</f>
        <v>MARTES</v>
      </c>
      <c r="G405" s="144" t="s">
        <v>218</v>
      </c>
      <c r="H405" s="144"/>
      <c r="I405" s="144">
        <v>35</v>
      </c>
      <c r="J405" s="144"/>
      <c r="K405" s="144"/>
      <c r="L405" s="144">
        <f>SUM(Tabla1[[#This Row],[Desayuno C$ 25]:[Transporte]])</f>
        <v>35</v>
      </c>
    </row>
    <row r="406" spans="1:12" x14ac:dyDescent="0.25">
      <c r="A406" s="144">
        <v>204118</v>
      </c>
      <c r="B406" s="144" t="str">
        <f>+IFERROR(VLOOKUP(A406,Tabla2[#Data],2,0),"")</f>
        <v>YLARIO ANTONIO PALMA ZAPATA</v>
      </c>
      <c r="C406" s="144" t="str">
        <f>+IFERROR(VLOOKUP(A406,Tabla2[#Data],3,0),"")</f>
        <v>Operador de Cabezal I</v>
      </c>
      <c r="D406" s="144">
        <v>404</v>
      </c>
      <c r="E406" s="144">
        <v>43859</v>
      </c>
      <c r="F406" s="144" t="str">
        <f>+IFERROR(VLOOKUP(WEEKDAY(E406),Catalogo!$F$1:$G$7,2,0),"")</f>
        <v>MIÉRCOLES</v>
      </c>
      <c r="G406" s="144" t="s">
        <v>218</v>
      </c>
      <c r="H406" s="144"/>
      <c r="I406" s="144">
        <v>35</v>
      </c>
      <c r="J406" s="144"/>
      <c r="K406" s="144"/>
      <c r="L406" s="144">
        <f>SUM(Tabla1[[#This Row],[Desayuno C$ 25]:[Transporte]])</f>
        <v>35</v>
      </c>
    </row>
    <row r="407" spans="1:12" x14ac:dyDescent="0.25">
      <c r="A407" s="144">
        <v>202192</v>
      </c>
      <c r="B407" s="144" t="str">
        <f>+IFERROR(VLOOKUP(A407,Tabla2[#Data],2,0),"")</f>
        <v>BOANERGES ESCALANTE PEREZ</v>
      </c>
      <c r="C407" s="144" t="str">
        <f>+IFERROR(VLOOKUP(A407,Tabla2[#Data],3,0),"")</f>
        <v>Operador  de Tractor III</v>
      </c>
      <c r="D407" s="144">
        <v>405</v>
      </c>
      <c r="E407" s="144">
        <v>43859</v>
      </c>
      <c r="F407" s="144" t="str">
        <f>+IFERROR(VLOOKUP(WEEKDAY(E407),Catalogo!$F$1:$G$7,2,0),"")</f>
        <v>MIÉRCOLES</v>
      </c>
      <c r="G407" s="144" t="s">
        <v>218</v>
      </c>
      <c r="H407" s="144"/>
      <c r="I407" s="144">
        <v>35</v>
      </c>
      <c r="J407" s="144"/>
      <c r="K407" s="144"/>
      <c r="L407" s="144">
        <f>SUM(Tabla1[[#This Row],[Desayuno C$ 25]:[Transporte]])</f>
        <v>35</v>
      </c>
    </row>
    <row r="408" spans="1:12" x14ac:dyDescent="0.25">
      <c r="A408" s="144">
        <v>212403</v>
      </c>
      <c r="B408" s="144" t="str">
        <f>+IFERROR(VLOOKUP(A408,Tabla2[#Data],2,0),"")</f>
        <v>WILFREDO BERNABE JIRON MELENDEZ</v>
      </c>
      <c r="C408" s="144" t="str">
        <f>+IFERROR(VLOOKUP(A408,Tabla2[#Data],3,0),"")</f>
        <v>Operador  de Tractor III</v>
      </c>
      <c r="D408" s="144">
        <v>406</v>
      </c>
      <c r="E408" s="144">
        <v>43859</v>
      </c>
      <c r="F408" s="144" t="str">
        <f>+IFERROR(VLOOKUP(WEEKDAY(E408),Catalogo!$F$1:$G$7,2,0),"")</f>
        <v>MIÉRCOLES</v>
      </c>
      <c r="G408" s="144" t="s">
        <v>320</v>
      </c>
      <c r="H408" s="144"/>
      <c r="I408" s="144">
        <v>35</v>
      </c>
      <c r="J408" s="144"/>
      <c r="K408" s="144"/>
      <c r="L408" s="144">
        <f>SUM(Tabla1[[#This Row],[Desayuno C$ 25]:[Transporte]])</f>
        <v>35</v>
      </c>
    </row>
    <row r="409" spans="1:12" x14ac:dyDescent="0.25">
      <c r="A409" s="144">
        <v>203391</v>
      </c>
      <c r="B409" s="144" t="str">
        <f>+IFERROR(VLOOKUP(A409,Tabla2[#Data],2,0),"")</f>
        <v>DARIO JOSE SANTAMARIA RAMIREZ</v>
      </c>
      <c r="C409" s="144" t="str">
        <f>+IFERROR(VLOOKUP(A409,Tabla2[#Data],3,0),"")</f>
        <v>Operador de Cabezal I</v>
      </c>
      <c r="D409" s="144">
        <v>407</v>
      </c>
      <c r="E409" s="144">
        <v>43859</v>
      </c>
      <c r="F409" s="144" t="str">
        <f>+IFERROR(VLOOKUP(WEEKDAY(E409),Catalogo!$F$1:$G$7,2,0),"")</f>
        <v>MIÉRCOLES</v>
      </c>
      <c r="G409" s="144" t="s">
        <v>292</v>
      </c>
      <c r="H409" s="144"/>
      <c r="I409" s="144">
        <v>65</v>
      </c>
      <c r="J409" s="144"/>
      <c r="K409" s="144"/>
      <c r="L409" s="144">
        <f>SUM(Tabla1[[#This Row],[Desayuno C$ 25]:[Transporte]])</f>
        <v>65</v>
      </c>
    </row>
    <row r="410" spans="1:12" x14ac:dyDescent="0.25">
      <c r="A410" s="144">
        <v>212187</v>
      </c>
      <c r="B410" s="144" t="str">
        <f>+IFERROR(VLOOKUP(A410,Tabla2[#Data],2,0),"")</f>
        <v>JOSE RAMON FIGUEROA</v>
      </c>
      <c r="C410" s="144" t="str">
        <f>+IFERROR(VLOOKUP(A410,Tabla2[#Data],3,0),"")</f>
        <v>Operador de Cabezal I</v>
      </c>
      <c r="D410" s="144">
        <v>408</v>
      </c>
      <c r="E410" s="144">
        <v>43859</v>
      </c>
      <c r="F410" s="144" t="str">
        <f>+IFERROR(VLOOKUP(WEEKDAY(E410),Catalogo!$F$1:$G$7,2,0),"")</f>
        <v>MIÉRCOLES</v>
      </c>
      <c r="G410" s="144" t="s">
        <v>292</v>
      </c>
      <c r="H410" s="144"/>
      <c r="I410" s="144">
        <v>65</v>
      </c>
      <c r="J410" s="144"/>
      <c r="K410" s="144"/>
      <c r="L410" s="144">
        <f>SUM(Tabla1[[#This Row],[Desayuno C$ 25]:[Transporte]])</f>
        <v>65</v>
      </c>
    </row>
    <row r="411" spans="1:12" x14ac:dyDescent="0.25">
      <c r="A411" s="144">
        <v>204118</v>
      </c>
      <c r="B411" s="144" t="str">
        <f>+IFERROR(VLOOKUP(A411,Tabla2[#Data],2,0),"")</f>
        <v>YLARIO ANTONIO PALMA ZAPATA</v>
      </c>
      <c r="C411" s="144" t="str">
        <f>+IFERROR(VLOOKUP(A411,Tabla2[#Data],3,0),"")</f>
        <v>Operador de Cabezal I</v>
      </c>
      <c r="D411" s="144">
        <v>409</v>
      </c>
      <c r="E411" s="144">
        <v>43860</v>
      </c>
      <c r="F411" s="144" t="str">
        <f>+IFERROR(VLOOKUP(WEEKDAY(E411),Catalogo!$F$1:$G$7,2,0),"")</f>
        <v>JUEVES</v>
      </c>
      <c r="G411" s="144" t="s">
        <v>218</v>
      </c>
      <c r="H411" s="144"/>
      <c r="I411" s="144">
        <v>35</v>
      </c>
      <c r="J411" s="144"/>
      <c r="K411" s="144"/>
      <c r="L411" s="144">
        <f>SUM(Tabla1[[#This Row],[Desayuno C$ 25]:[Transporte]])</f>
        <v>35</v>
      </c>
    </row>
    <row r="412" spans="1:12" x14ac:dyDescent="0.25">
      <c r="A412" s="144">
        <v>202192</v>
      </c>
      <c r="B412" s="144" t="str">
        <f>+IFERROR(VLOOKUP(A412,Tabla2[#Data],2,0),"")</f>
        <v>BOANERGES ESCALANTE PEREZ</v>
      </c>
      <c r="C412" s="144" t="str">
        <f>+IFERROR(VLOOKUP(A412,Tabla2[#Data],3,0),"")</f>
        <v>Operador  de Tractor III</v>
      </c>
      <c r="D412" s="144">
        <v>410</v>
      </c>
      <c r="E412" s="144">
        <v>43860</v>
      </c>
      <c r="F412" s="144" t="str">
        <f>+IFERROR(VLOOKUP(WEEKDAY(E412),Catalogo!$F$1:$G$7,2,0),"")</f>
        <v>JUEVES</v>
      </c>
      <c r="G412" s="144" t="s">
        <v>218</v>
      </c>
      <c r="H412" s="144"/>
      <c r="I412" s="144">
        <v>35</v>
      </c>
      <c r="J412" s="144"/>
      <c r="K412" s="144"/>
      <c r="L412" s="144">
        <f>SUM(Tabla1[[#This Row],[Desayuno C$ 25]:[Transporte]])</f>
        <v>35</v>
      </c>
    </row>
    <row r="413" spans="1:12" x14ac:dyDescent="0.25">
      <c r="A413" s="144">
        <v>203391</v>
      </c>
      <c r="B413" s="144" t="str">
        <f>+IFERROR(VLOOKUP(A413,Tabla2[#Data],2,0),"")</f>
        <v>DARIO JOSE SANTAMARIA RAMIREZ</v>
      </c>
      <c r="C413" s="144" t="str">
        <f>+IFERROR(VLOOKUP(A413,Tabla2[#Data],3,0),"")</f>
        <v>Operador de Cabezal I</v>
      </c>
      <c r="D413" s="144">
        <v>411</v>
      </c>
      <c r="E413" s="144">
        <v>43860</v>
      </c>
      <c r="F413" s="144" t="str">
        <f>+IFERROR(VLOOKUP(WEEKDAY(E413),Catalogo!$F$1:$G$7,2,0),"")</f>
        <v>JUEVES</v>
      </c>
      <c r="G413" s="144" t="s">
        <v>292</v>
      </c>
      <c r="H413" s="144"/>
      <c r="I413" s="144">
        <v>65</v>
      </c>
      <c r="J413" s="144"/>
      <c r="K413" s="144"/>
      <c r="L413" s="144">
        <f>SUM(Tabla1[[#This Row],[Desayuno C$ 25]:[Transporte]])</f>
        <v>65</v>
      </c>
    </row>
    <row r="414" spans="1:12" x14ac:dyDescent="0.25">
      <c r="A414" s="144">
        <v>212187</v>
      </c>
      <c r="B414" s="144" t="str">
        <f>+IFERROR(VLOOKUP(A414,Tabla2[#Data],2,0),"")</f>
        <v>JOSE RAMON FIGUEROA</v>
      </c>
      <c r="C414" s="144" t="str">
        <f>+IFERROR(VLOOKUP(A414,Tabla2[#Data],3,0),"")</f>
        <v>Operador de Cabezal I</v>
      </c>
      <c r="D414" s="144">
        <v>412</v>
      </c>
      <c r="E414" s="144">
        <v>43860</v>
      </c>
      <c r="F414" s="144" t="str">
        <f>+IFERROR(VLOOKUP(WEEKDAY(E414),Catalogo!$F$1:$G$7,2,0),"")</f>
        <v>JUEVES</v>
      </c>
      <c r="G414" s="144" t="s">
        <v>292</v>
      </c>
      <c r="H414" s="144"/>
      <c r="I414" s="144">
        <v>65</v>
      </c>
      <c r="J414" s="144"/>
      <c r="K414" s="144"/>
      <c r="L414" s="144">
        <f>SUM(Tabla1[[#This Row],[Desayuno C$ 25]:[Transporte]])</f>
        <v>65</v>
      </c>
    </row>
    <row r="415" spans="1:12" x14ac:dyDescent="0.25">
      <c r="A415" s="144">
        <v>204118</v>
      </c>
      <c r="B415" s="144" t="str">
        <f>+IFERROR(VLOOKUP(A415,Tabla2[#Data],2,0),"")</f>
        <v>YLARIO ANTONIO PALMA ZAPATA</v>
      </c>
      <c r="C415" s="144" t="str">
        <f>+IFERROR(VLOOKUP(A415,Tabla2[#Data],3,0),"")</f>
        <v>Operador de Cabezal I</v>
      </c>
      <c r="D415" s="144">
        <v>413</v>
      </c>
      <c r="E415" s="144">
        <v>43861</v>
      </c>
      <c r="F415" s="144" t="str">
        <f>+IFERROR(VLOOKUP(WEEKDAY(E415),Catalogo!$F$1:$G$7,2,0),"")</f>
        <v>VIERNES</v>
      </c>
      <c r="G415" s="144" t="s">
        <v>218</v>
      </c>
      <c r="H415" s="144"/>
      <c r="I415" s="144">
        <v>35</v>
      </c>
      <c r="J415" s="144"/>
      <c r="K415" s="144"/>
      <c r="L415" s="144">
        <f>SUM(Tabla1[[#This Row],[Desayuno C$ 25]:[Transporte]])</f>
        <v>35</v>
      </c>
    </row>
    <row r="416" spans="1:12" x14ac:dyDescent="0.25">
      <c r="A416" s="144">
        <v>204118</v>
      </c>
      <c r="B416" s="144" t="str">
        <f>+IFERROR(VLOOKUP(A416,Tabla2[#Data],2,0),"")</f>
        <v>YLARIO ANTONIO PALMA ZAPATA</v>
      </c>
      <c r="C416" s="144" t="str">
        <f>+IFERROR(VLOOKUP(A416,Tabla2[#Data],3,0),"")</f>
        <v>Operador de Cabezal I</v>
      </c>
      <c r="D416" s="144">
        <v>414</v>
      </c>
      <c r="E416" s="144">
        <v>43862</v>
      </c>
      <c r="F416" s="144" t="str">
        <f>+IFERROR(VLOOKUP(WEEKDAY(E416),Catalogo!$F$1:$G$7,2,0),"")</f>
        <v>SÁBADO</v>
      </c>
      <c r="G416" s="144" t="s">
        <v>218</v>
      </c>
      <c r="H416" s="144"/>
      <c r="I416" s="144">
        <v>35</v>
      </c>
      <c r="J416" s="144"/>
      <c r="K416" s="144"/>
      <c r="L416" s="144">
        <f>SUM(Tabla1[[#This Row],[Desayuno C$ 25]:[Transporte]])</f>
        <v>35</v>
      </c>
    </row>
    <row r="417" spans="1:12" x14ac:dyDescent="0.25">
      <c r="A417" s="144">
        <v>202192</v>
      </c>
      <c r="B417" s="144" t="str">
        <f>+IFERROR(VLOOKUP(A417,Tabla2[#Data],2,0),"")</f>
        <v>BOANERGES ESCALANTE PEREZ</v>
      </c>
      <c r="C417" s="144" t="str">
        <f>+IFERROR(VLOOKUP(A417,Tabla2[#Data],3,0),"")</f>
        <v>Operador  de Tractor III</v>
      </c>
      <c r="D417" s="144">
        <v>415</v>
      </c>
      <c r="E417" s="144">
        <v>43862</v>
      </c>
      <c r="F417" s="144" t="str">
        <f>+IFERROR(VLOOKUP(WEEKDAY(E417),Catalogo!$F$1:$G$7,2,0),"")</f>
        <v>SÁBADO</v>
      </c>
      <c r="G417" s="144" t="s">
        <v>218</v>
      </c>
      <c r="H417" s="144"/>
      <c r="I417" s="144">
        <v>35</v>
      </c>
      <c r="J417" s="144"/>
      <c r="K417" s="144"/>
      <c r="L417" s="144">
        <f>SUM(Tabla1[[#This Row],[Desayuno C$ 25]:[Transporte]])</f>
        <v>35</v>
      </c>
    </row>
    <row r="418" spans="1:12" x14ac:dyDescent="0.25">
      <c r="A418" s="144">
        <v>211319</v>
      </c>
      <c r="B418" s="144" t="str">
        <f>+IFERROR(VLOOKUP(A418,Tabla2[#Data],2,0),"")</f>
        <v>FREDY JOSE ESTRADA CASTRO</v>
      </c>
      <c r="C418" s="144" t="str">
        <f>+IFERROR(VLOOKUP(A418,Tabla2[#Data],3,0),"")</f>
        <v>Operador de Cabezal I</v>
      </c>
      <c r="D418" s="144">
        <v>416</v>
      </c>
      <c r="E418" s="144">
        <v>43863</v>
      </c>
      <c r="F418" s="144" t="str">
        <f>+IFERROR(VLOOKUP(WEEKDAY(E418),Catalogo!$F$1:$G$7,2,0),"")</f>
        <v>DOMINGO</v>
      </c>
      <c r="G418" s="144" t="s">
        <v>218</v>
      </c>
      <c r="H418" s="144"/>
      <c r="I418" s="144">
        <v>35</v>
      </c>
      <c r="J418" s="144"/>
      <c r="K418" s="144"/>
      <c r="L418" s="144">
        <f>SUM(Tabla1[[#This Row],[Desayuno C$ 25]:[Transporte]])</f>
        <v>35</v>
      </c>
    </row>
    <row r="419" spans="1:12" x14ac:dyDescent="0.25">
      <c r="A419" s="144">
        <v>203391</v>
      </c>
      <c r="B419" s="144" t="str">
        <f>+IFERROR(VLOOKUP(A419,Tabla2[#Data],2,0),"")</f>
        <v>DARIO JOSE SANTAMARIA RAMIREZ</v>
      </c>
      <c r="C419" s="144" t="str">
        <f>+IFERROR(VLOOKUP(A419,Tabla2[#Data],3,0),"")</f>
        <v>Operador de Cabezal I</v>
      </c>
      <c r="D419" s="144">
        <v>417</v>
      </c>
      <c r="E419" s="144">
        <v>43863</v>
      </c>
      <c r="F419" s="144" t="str">
        <f>+IFERROR(VLOOKUP(WEEKDAY(E419),Catalogo!$F$1:$G$7,2,0),"")</f>
        <v>DOMINGO</v>
      </c>
      <c r="G419" s="144" t="s">
        <v>294</v>
      </c>
      <c r="H419" s="144"/>
      <c r="I419" s="144">
        <v>65</v>
      </c>
      <c r="J419" s="144"/>
      <c r="K419" s="144"/>
      <c r="L419" s="144">
        <f>SUM(Tabla1[[#This Row],[Desayuno C$ 25]:[Transporte]])</f>
        <v>65</v>
      </c>
    </row>
    <row r="420" spans="1:12" x14ac:dyDescent="0.25">
      <c r="A420" s="144">
        <v>212619</v>
      </c>
      <c r="B420" s="144" t="str">
        <f>+IFERROR(VLOOKUP(A420,Tabla2[#Data],2,0),"")</f>
        <v>FERNANDO JOSE CANALES SALINAS</v>
      </c>
      <c r="C420" s="144" t="str">
        <f>+IFERROR(VLOOKUP(A420,Tabla2[#Data],3,0),"")</f>
        <v>Operador de Cabezal I</v>
      </c>
      <c r="D420" s="144">
        <v>418</v>
      </c>
      <c r="E420" s="144">
        <v>43865</v>
      </c>
      <c r="F420" s="144" t="str">
        <f>+IFERROR(VLOOKUP(WEEKDAY(E420),Catalogo!$F$1:$G$7,2,0),"")</f>
        <v>MARTES</v>
      </c>
      <c r="G420" s="144" t="s">
        <v>294</v>
      </c>
      <c r="H420" s="144"/>
      <c r="I420" s="144">
        <v>65</v>
      </c>
      <c r="J420" s="144"/>
      <c r="K420" s="144"/>
      <c r="L420" s="144">
        <f>SUM(Tabla1[[#This Row],[Desayuno C$ 25]:[Transporte]])</f>
        <v>65</v>
      </c>
    </row>
    <row r="421" spans="1:12" x14ac:dyDescent="0.25">
      <c r="A421" s="144">
        <v>204118</v>
      </c>
      <c r="B421" s="144" t="str">
        <f>+IFERROR(VLOOKUP(A421,Tabla2[#Data],2,0),"")</f>
        <v>YLARIO ANTONIO PALMA ZAPATA</v>
      </c>
      <c r="C421" s="144" t="str">
        <f>+IFERROR(VLOOKUP(A421,Tabla2[#Data],3,0),"")</f>
        <v>Operador de Cabezal I</v>
      </c>
      <c r="D421" s="144">
        <v>419</v>
      </c>
      <c r="E421" s="144">
        <v>43866</v>
      </c>
      <c r="F421" s="144" t="str">
        <f>+IFERROR(VLOOKUP(WEEKDAY(E421),Catalogo!$F$1:$G$7,2,0),"")</f>
        <v>MIÉRCOLES</v>
      </c>
      <c r="G421" s="144" t="s">
        <v>218</v>
      </c>
      <c r="H421" s="144"/>
      <c r="I421" s="144">
        <v>35</v>
      </c>
      <c r="J421" s="144"/>
      <c r="K421" s="144"/>
      <c r="L421" s="144">
        <f>SUM(Tabla1[[#This Row],[Desayuno C$ 25]:[Transporte]])</f>
        <v>35</v>
      </c>
    </row>
    <row r="422" spans="1:12" x14ac:dyDescent="0.25">
      <c r="A422" s="144">
        <v>202192</v>
      </c>
      <c r="B422" s="144" t="str">
        <f>+IFERROR(VLOOKUP(A422,Tabla2[#Data],2,0),"")</f>
        <v>BOANERGES ESCALANTE PEREZ</v>
      </c>
      <c r="C422" s="144" t="str">
        <f>+IFERROR(VLOOKUP(A422,Tabla2[#Data],3,0),"")</f>
        <v>Operador  de Tractor III</v>
      </c>
      <c r="D422" s="144">
        <v>420</v>
      </c>
      <c r="E422" s="144">
        <v>43866</v>
      </c>
      <c r="F422" s="144" t="str">
        <f>+IFERROR(VLOOKUP(WEEKDAY(E422),Catalogo!$F$1:$G$7,2,0),"")</f>
        <v>MIÉRCOLES</v>
      </c>
      <c r="G422" s="144" t="s">
        <v>218</v>
      </c>
      <c r="H422" s="144"/>
      <c r="I422" s="144">
        <v>35</v>
      </c>
      <c r="J422" s="144"/>
      <c r="K422" s="144"/>
      <c r="L422" s="144">
        <f>SUM(Tabla1[[#This Row],[Desayuno C$ 25]:[Transporte]])</f>
        <v>35</v>
      </c>
    </row>
    <row r="423" spans="1:12" x14ac:dyDescent="0.25">
      <c r="A423" s="144">
        <v>203391</v>
      </c>
      <c r="B423" s="144" t="str">
        <f>+IFERROR(VLOOKUP(A423,Tabla2[#Data],2,0),"")</f>
        <v>DARIO JOSE SANTAMARIA RAMIREZ</v>
      </c>
      <c r="C423" s="144" t="str">
        <f>+IFERROR(VLOOKUP(A423,Tabla2[#Data],3,0),"")</f>
        <v>Operador de Cabezal I</v>
      </c>
      <c r="D423" s="144">
        <v>421</v>
      </c>
      <c r="E423" s="144">
        <v>43866</v>
      </c>
      <c r="F423" s="144" t="str">
        <f>+IFERROR(VLOOKUP(WEEKDAY(E423),Catalogo!$F$1:$G$7,2,0),"")</f>
        <v>MIÉRCOLES</v>
      </c>
      <c r="G423" s="144" t="s">
        <v>219</v>
      </c>
      <c r="H423" s="144"/>
      <c r="I423" s="144">
        <v>65</v>
      </c>
      <c r="J423" s="144"/>
      <c r="K423" s="144"/>
      <c r="L423" s="144">
        <f>SUM(Tabla1[[#This Row],[Desayuno C$ 25]:[Transporte]])</f>
        <v>65</v>
      </c>
    </row>
    <row r="424" spans="1:12" x14ac:dyDescent="0.25">
      <c r="A424" s="144">
        <v>212187</v>
      </c>
      <c r="B424" s="144" t="str">
        <f>+IFERROR(VLOOKUP(A424,Tabla2[#Data],2,0),"")</f>
        <v>JOSE RAMON FIGUEROA</v>
      </c>
      <c r="C424" s="144" t="str">
        <f>+IFERROR(VLOOKUP(A424,Tabla2[#Data],3,0),"")</f>
        <v>Operador de Cabezal I</v>
      </c>
      <c r="D424" s="144">
        <v>422</v>
      </c>
      <c r="E424" s="144">
        <v>43866</v>
      </c>
      <c r="F424" s="144" t="str">
        <f>+IFERROR(VLOOKUP(WEEKDAY(E424),Catalogo!$F$1:$G$7,2,0),"")</f>
        <v>MIÉRCOLES</v>
      </c>
      <c r="G424" s="144" t="s">
        <v>291</v>
      </c>
      <c r="H424" s="144"/>
      <c r="I424" s="144">
        <v>35</v>
      </c>
      <c r="J424" s="144"/>
      <c r="K424" s="144"/>
      <c r="L424" s="144">
        <f>SUM(Tabla1[[#This Row],[Desayuno C$ 25]:[Transporte]])</f>
        <v>35</v>
      </c>
    </row>
    <row r="425" spans="1:12" x14ac:dyDescent="0.25">
      <c r="A425" s="144">
        <v>204118</v>
      </c>
      <c r="B425" s="144" t="str">
        <f>+IFERROR(VLOOKUP(A425,Tabla2[#Data],2,0),"")</f>
        <v>YLARIO ANTONIO PALMA ZAPATA</v>
      </c>
      <c r="C425" s="144" t="str">
        <f>+IFERROR(VLOOKUP(A425,Tabla2[#Data],3,0),"")</f>
        <v>Operador de Cabezal I</v>
      </c>
      <c r="D425" s="144">
        <v>423</v>
      </c>
      <c r="E425" s="144">
        <v>43867</v>
      </c>
      <c r="F425" s="144" t="str">
        <f>+IFERROR(VLOOKUP(WEEKDAY(E425),Catalogo!$F$1:$G$7,2,0),"")</f>
        <v>JUEVES</v>
      </c>
      <c r="G425" s="144" t="s">
        <v>218</v>
      </c>
      <c r="H425" s="144"/>
      <c r="I425" s="144">
        <v>35</v>
      </c>
      <c r="J425" s="144"/>
      <c r="K425" s="144"/>
      <c r="L425" s="144">
        <f>SUM(Tabla1[[#This Row],[Desayuno C$ 25]:[Transporte]])</f>
        <v>35</v>
      </c>
    </row>
    <row r="426" spans="1:12" x14ac:dyDescent="0.25">
      <c r="A426" s="144">
        <v>204118</v>
      </c>
      <c r="B426" s="144" t="str">
        <f>+IFERROR(VLOOKUP(A426,Tabla2[#Data],2,0),"")</f>
        <v>YLARIO ANTONIO PALMA ZAPATA</v>
      </c>
      <c r="C426" s="144" t="str">
        <f>+IFERROR(VLOOKUP(A426,Tabla2[#Data],3,0),"")</f>
        <v>Operador de Cabezal I</v>
      </c>
      <c r="D426" s="144">
        <v>424</v>
      </c>
      <c r="E426" s="144">
        <v>43868</v>
      </c>
      <c r="F426" s="144" t="str">
        <f>+IFERROR(VLOOKUP(WEEKDAY(E426),Catalogo!$F$1:$G$7,2,0),"")</f>
        <v>VIERNES</v>
      </c>
      <c r="G426" s="144" t="s">
        <v>218</v>
      </c>
      <c r="H426" s="144"/>
      <c r="I426" s="144">
        <v>35</v>
      </c>
      <c r="J426" s="144"/>
      <c r="K426" s="144"/>
      <c r="L426" s="144">
        <f>SUM(Tabla1[[#This Row],[Desayuno C$ 25]:[Transporte]])</f>
        <v>35</v>
      </c>
    </row>
    <row r="427" spans="1:12" x14ac:dyDescent="0.25">
      <c r="A427" s="144">
        <v>202192</v>
      </c>
      <c r="B427" s="144" t="str">
        <f>+IFERROR(VLOOKUP(A427,Tabla2[#Data],2,0),"")</f>
        <v>BOANERGES ESCALANTE PEREZ</v>
      </c>
      <c r="C427" s="144" t="str">
        <f>+IFERROR(VLOOKUP(A427,Tabla2[#Data],3,0),"")</f>
        <v>Operador  de Tractor III</v>
      </c>
      <c r="D427" s="144">
        <v>425</v>
      </c>
      <c r="E427" s="144">
        <v>43868</v>
      </c>
      <c r="F427" s="144" t="str">
        <f>+IFERROR(VLOOKUP(WEEKDAY(E427),Catalogo!$F$1:$G$7,2,0),"")</f>
        <v>VIERNES</v>
      </c>
      <c r="G427" s="144" t="s">
        <v>218</v>
      </c>
      <c r="H427" s="144"/>
      <c r="I427" s="144">
        <v>35</v>
      </c>
      <c r="J427" s="144"/>
      <c r="K427" s="144"/>
      <c r="L427" s="144">
        <f>SUM(Tabla1[[#This Row],[Desayuno C$ 25]:[Transporte]])</f>
        <v>35</v>
      </c>
    </row>
    <row r="428" spans="1:12" x14ac:dyDescent="0.25">
      <c r="A428" s="145">
        <v>202113</v>
      </c>
      <c r="B428" s="145" t="str">
        <f>+IFERROR(VLOOKUP(A428,Tabla2[#Data],2,0),"")</f>
        <v>LEONEL ISMAEL CORDOBA NARVAEZ</v>
      </c>
      <c r="C428" s="145" t="str">
        <f>+IFERROR(VLOOKUP(A428,Tabla2[#Data],3,0),"")</f>
        <v>Operador de Maquinaria Pesada III</v>
      </c>
      <c r="D428" s="171">
        <v>1</v>
      </c>
      <c r="E428" s="145"/>
      <c r="F428" s="145" t="str">
        <f>+IFERROR(VLOOKUP(WEEKDAY(E428),Catalogo!$F$1:$G$7,2,0),"")</f>
        <v>SÁBADO</v>
      </c>
      <c r="G428" s="145"/>
      <c r="H428" s="145"/>
      <c r="I428" s="145"/>
      <c r="J428" s="145"/>
      <c r="K428" s="145"/>
      <c r="L428" s="145"/>
    </row>
  </sheetData>
  <phoneticPr fontId="17" type="noConversion"/>
  <pageMargins left="0.7" right="0.7" top="0.75" bottom="0.75" header="0.3" footer="0.3"/>
  <pageSetup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9"/>
    <pageSetUpPr fitToPage="1"/>
  </sheetPr>
  <dimension ref="A1:Z200"/>
  <sheetViews>
    <sheetView showGridLines="0" topLeftCell="A79" zoomScaleNormal="100" workbookViewId="0">
      <selection activeCell="E12" sqref="E12"/>
    </sheetView>
  </sheetViews>
  <sheetFormatPr baseColWidth="10" defaultColWidth="9.140625" defaultRowHeight="12.75" x14ac:dyDescent="0.2"/>
  <cols>
    <col min="1" max="1" width="8.42578125" style="18" customWidth="1"/>
    <col min="2" max="2" width="5.28515625" style="18" customWidth="1"/>
    <col min="3" max="3" width="13.5703125" style="27" customWidth="1"/>
    <col min="4" max="4" width="10.140625" style="27" customWidth="1"/>
    <col min="5" max="5" width="14.5703125" style="18" customWidth="1"/>
    <col min="6" max="6" width="37" style="18" customWidth="1"/>
    <col min="7" max="7" width="10.28515625" style="18" customWidth="1"/>
    <col min="8" max="8" width="13.28515625" style="77" customWidth="1"/>
    <col min="9" max="9" width="14.7109375" style="10" customWidth="1"/>
    <col min="10" max="10" width="6.28515625" style="10" customWidth="1"/>
    <col min="11" max="11" width="6.85546875" style="10" customWidth="1"/>
    <col min="12" max="12" width="8.85546875" style="10" customWidth="1"/>
    <col min="13" max="13" width="12.5703125" style="10" bestFit="1" customWidth="1"/>
    <col min="14" max="14" width="32.140625" style="10" bestFit="1" customWidth="1"/>
    <col min="15" max="15" width="17.85546875" style="10" customWidth="1"/>
    <col min="16" max="16" width="16.140625" style="10" customWidth="1"/>
    <col min="17" max="17" width="16.140625" style="10" bestFit="1" customWidth="1"/>
    <col min="18" max="18" width="9.140625" style="10"/>
    <col min="19" max="19" width="39.85546875" style="10" bestFit="1" customWidth="1"/>
    <col min="20" max="20" width="15.5703125" style="10" bestFit="1" customWidth="1"/>
    <col min="21" max="21" width="16.140625" style="10" customWidth="1"/>
    <col min="22" max="22" width="16.140625" style="10" bestFit="1" customWidth="1"/>
    <col min="23" max="253" width="9.140625" style="10"/>
    <col min="254" max="254" width="9.7109375" style="10" customWidth="1"/>
    <col min="255" max="255" width="4.42578125" style="10" bestFit="1" customWidth="1"/>
    <col min="256" max="256" width="10.7109375" style="10" bestFit="1" customWidth="1"/>
    <col min="257" max="257" width="23.85546875" style="10" customWidth="1"/>
    <col min="258" max="258" width="46.140625" style="10" customWidth="1"/>
    <col min="259" max="259" width="6.140625" style="10" bestFit="1" customWidth="1"/>
    <col min="260" max="260" width="8.85546875" style="10" bestFit="1" customWidth="1"/>
    <col min="261" max="261" width="18.5703125" style="10" customWidth="1"/>
    <col min="262" max="509" width="9.140625" style="10"/>
    <col min="510" max="510" width="9.7109375" style="10" customWidth="1"/>
    <col min="511" max="511" width="4.42578125" style="10" bestFit="1" customWidth="1"/>
    <col min="512" max="512" width="10.7109375" style="10" bestFit="1" customWidth="1"/>
    <col min="513" max="513" width="23.85546875" style="10" customWidth="1"/>
    <col min="514" max="514" width="46.140625" style="10" customWidth="1"/>
    <col min="515" max="515" width="6.140625" style="10" bestFit="1" customWidth="1"/>
    <col min="516" max="516" width="8.85546875" style="10" bestFit="1" customWidth="1"/>
    <col min="517" max="517" width="18.5703125" style="10" customWidth="1"/>
    <col min="518" max="765" width="9.140625" style="10"/>
    <col min="766" max="766" width="9.7109375" style="10" customWidth="1"/>
    <col min="767" max="767" width="4.42578125" style="10" bestFit="1" customWidth="1"/>
    <col min="768" max="768" width="10.7109375" style="10" bestFit="1" customWidth="1"/>
    <col min="769" max="769" width="23.85546875" style="10" customWidth="1"/>
    <col min="770" max="770" width="46.140625" style="10" customWidth="1"/>
    <col min="771" max="771" width="6.140625" style="10" bestFit="1" customWidth="1"/>
    <col min="772" max="772" width="8.85546875" style="10" bestFit="1" customWidth="1"/>
    <col min="773" max="773" width="18.5703125" style="10" customWidth="1"/>
    <col min="774" max="1021" width="9.140625" style="10"/>
    <col min="1022" max="1022" width="9.7109375" style="10" customWidth="1"/>
    <col min="1023" max="1023" width="4.42578125" style="10" bestFit="1" customWidth="1"/>
    <col min="1024" max="1024" width="10.7109375" style="10" bestFit="1" customWidth="1"/>
    <col min="1025" max="1025" width="23.85546875" style="10" customWidth="1"/>
    <col min="1026" max="1026" width="46.140625" style="10" customWidth="1"/>
    <col min="1027" max="1027" width="6.140625" style="10" bestFit="1" customWidth="1"/>
    <col min="1028" max="1028" width="8.85546875" style="10" bestFit="1" customWidth="1"/>
    <col min="1029" max="1029" width="18.5703125" style="10" customWidth="1"/>
    <col min="1030" max="1277" width="9.140625" style="10"/>
    <col min="1278" max="1278" width="9.7109375" style="10" customWidth="1"/>
    <col min="1279" max="1279" width="4.42578125" style="10" bestFit="1" customWidth="1"/>
    <col min="1280" max="1280" width="10.7109375" style="10" bestFit="1" customWidth="1"/>
    <col min="1281" max="1281" width="23.85546875" style="10" customWidth="1"/>
    <col min="1282" max="1282" width="46.140625" style="10" customWidth="1"/>
    <col min="1283" max="1283" width="6.140625" style="10" bestFit="1" customWidth="1"/>
    <col min="1284" max="1284" width="8.85546875" style="10" bestFit="1" customWidth="1"/>
    <col min="1285" max="1285" width="18.5703125" style="10" customWidth="1"/>
    <col min="1286" max="1533" width="9.140625" style="10"/>
    <col min="1534" max="1534" width="9.7109375" style="10" customWidth="1"/>
    <col min="1535" max="1535" width="4.42578125" style="10" bestFit="1" customWidth="1"/>
    <col min="1536" max="1536" width="10.7109375" style="10" bestFit="1" customWidth="1"/>
    <col min="1537" max="1537" width="23.85546875" style="10" customWidth="1"/>
    <col min="1538" max="1538" width="46.140625" style="10" customWidth="1"/>
    <col min="1539" max="1539" width="6.140625" style="10" bestFit="1" customWidth="1"/>
    <col min="1540" max="1540" width="8.85546875" style="10" bestFit="1" customWidth="1"/>
    <col min="1541" max="1541" width="18.5703125" style="10" customWidth="1"/>
    <col min="1542" max="1789" width="9.140625" style="10"/>
    <col min="1790" max="1790" width="9.7109375" style="10" customWidth="1"/>
    <col min="1791" max="1791" width="4.42578125" style="10" bestFit="1" customWidth="1"/>
    <col min="1792" max="1792" width="10.7109375" style="10" bestFit="1" customWidth="1"/>
    <col min="1793" max="1793" width="23.85546875" style="10" customWidth="1"/>
    <col min="1794" max="1794" width="46.140625" style="10" customWidth="1"/>
    <col min="1795" max="1795" width="6.140625" style="10" bestFit="1" customWidth="1"/>
    <col min="1796" max="1796" width="8.85546875" style="10" bestFit="1" customWidth="1"/>
    <col min="1797" max="1797" width="18.5703125" style="10" customWidth="1"/>
    <col min="1798" max="2045" width="9.140625" style="10"/>
    <col min="2046" max="2046" width="9.7109375" style="10" customWidth="1"/>
    <col min="2047" max="2047" width="4.42578125" style="10" bestFit="1" customWidth="1"/>
    <col min="2048" max="2048" width="10.7109375" style="10" bestFit="1" customWidth="1"/>
    <col min="2049" max="2049" width="23.85546875" style="10" customWidth="1"/>
    <col min="2050" max="2050" width="46.140625" style="10" customWidth="1"/>
    <col min="2051" max="2051" width="6.140625" style="10" bestFit="1" customWidth="1"/>
    <col min="2052" max="2052" width="8.85546875" style="10" bestFit="1" customWidth="1"/>
    <col min="2053" max="2053" width="18.5703125" style="10" customWidth="1"/>
    <col min="2054" max="2301" width="9.140625" style="10"/>
    <col min="2302" max="2302" width="9.7109375" style="10" customWidth="1"/>
    <col min="2303" max="2303" width="4.42578125" style="10" bestFit="1" customWidth="1"/>
    <col min="2304" max="2304" width="10.7109375" style="10" bestFit="1" customWidth="1"/>
    <col min="2305" max="2305" width="23.85546875" style="10" customWidth="1"/>
    <col min="2306" max="2306" width="46.140625" style="10" customWidth="1"/>
    <col min="2307" max="2307" width="6.140625" style="10" bestFit="1" customWidth="1"/>
    <col min="2308" max="2308" width="8.85546875" style="10" bestFit="1" customWidth="1"/>
    <col min="2309" max="2309" width="18.5703125" style="10" customWidth="1"/>
    <col min="2310" max="2557" width="9.140625" style="10"/>
    <col min="2558" max="2558" width="9.7109375" style="10" customWidth="1"/>
    <col min="2559" max="2559" width="4.42578125" style="10" bestFit="1" customWidth="1"/>
    <col min="2560" max="2560" width="10.7109375" style="10" bestFit="1" customWidth="1"/>
    <col min="2561" max="2561" width="23.85546875" style="10" customWidth="1"/>
    <col min="2562" max="2562" width="46.140625" style="10" customWidth="1"/>
    <col min="2563" max="2563" width="6.140625" style="10" bestFit="1" customWidth="1"/>
    <col min="2564" max="2564" width="8.85546875" style="10" bestFit="1" customWidth="1"/>
    <col min="2565" max="2565" width="18.5703125" style="10" customWidth="1"/>
    <col min="2566" max="2813" width="9.140625" style="10"/>
    <col min="2814" max="2814" width="9.7109375" style="10" customWidth="1"/>
    <col min="2815" max="2815" width="4.42578125" style="10" bestFit="1" customWidth="1"/>
    <col min="2816" max="2816" width="10.7109375" style="10" bestFit="1" customWidth="1"/>
    <col min="2817" max="2817" width="23.85546875" style="10" customWidth="1"/>
    <col min="2818" max="2818" width="46.140625" style="10" customWidth="1"/>
    <col min="2819" max="2819" width="6.140625" style="10" bestFit="1" customWidth="1"/>
    <col min="2820" max="2820" width="8.85546875" style="10" bestFit="1" customWidth="1"/>
    <col min="2821" max="2821" width="18.5703125" style="10" customWidth="1"/>
    <col min="2822" max="3069" width="9.140625" style="10"/>
    <col min="3070" max="3070" width="9.7109375" style="10" customWidth="1"/>
    <col min="3071" max="3071" width="4.42578125" style="10" bestFit="1" customWidth="1"/>
    <col min="3072" max="3072" width="10.7109375" style="10" bestFit="1" customWidth="1"/>
    <col min="3073" max="3073" width="23.85546875" style="10" customWidth="1"/>
    <col min="3074" max="3074" width="46.140625" style="10" customWidth="1"/>
    <col min="3075" max="3075" width="6.140625" style="10" bestFit="1" customWidth="1"/>
    <col min="3076" max="3076" width="8.85546875" style="10" bestFit="1" customWidth="1"/>
    <col min="3077" max="3077" width="18.5703125" style="10" customWidth="1"/>
    <col min="3078" max="3325" width="9.140625" style="10"/>
    <col min="3326" max="3326" width="9.7109375" style="10" customWidth="1"/>
    <col min="3327" max="3327" width="4.42578125" style="10" bestFit="1" customWidth="1"/>
    <col min="3328" max="3328" width="10.7109375" style="10" bestFit="1" customWidth="1"/>
    <col min="3329" max="3329" width="23.85546875" style="10" customWidth="1"/>
    <col min="3330" max="3330" width="46.140625" style="10" customWidth="1"/>
    <col min="3331" max="3331" width="6.140625" style="10" bestFit="1" customWidth="1"/>
    <col min="3332" max="3332" width="8.85546875" style="10" bestFit="1" customWidth="1"/>
    <col min="3333" max="3333" width="18.5703125" style="10" customWidth="1"/>
    <col min="3334" max="3581" width="9.140625" style="10"/>
    <col min="3582" max="3582" width="9.7109375" style="10" customWidth="1"/>
    <col min="3583" max="3583" width="4.42578125" style="10" bestFit="1" customWidth="1"/>
    <col min="3584" max="3584" width="10.7109375" style="10" bestFit="1" customWidth="1"/>
    <col min="3585" max="3585" width="23.85546875" style="10" customWidth="1"/>
    <col min="3586" max="3586" width="46.140625" style="10" customWidth="1"/>
    <col min="3587" max="3587" width="6.140625" style="10" bestFit="1" customWidth="1"/>
    <col min="3588" max="3588" width="8.85546875" style="10" bestFit="1" customWidth="1"/>
    <col min="3589" max="3589" width="18.5703125" style="10" customWidth="1"/>
    <col min="3590" max="3837" width="9.140625" style="10"/>
    <col min="3838" max="3838" width="9.7109375" style="10" customWidth="1"/>
    <col min="3839" max="3839" width="4.42578125" style="10" bestFit="1" customWidth="1"/>
    <col min="3840" max="3840" width="10.7109375" style="10" bestFit="1" customWidth="1"/>
    <col min="3841" max="3841" width="23.85546875" style="10" customWidth="1"/>
    <col min="3842" max="3842" width="46.140625" style="10" customWidth="1"/>
    <col min="3843" max="3843" width="6.140625" style="10" bestFit="1" customWidth="1"/>
    <col min="3844" max="3844" width="8.85546875" style="10" bestFit="1" customWidth="1"/>
    <col min="3845" max="3845" width="18.5703125" style="10" customWidth="1"/>
    <col min="3846" max="4093" width="9.140625" style="10"/>
    <col min="4094" max="4094" width="9.7109375" style="10" customWidth="1"/>
    <col min="4095" max="4095" width="4.42578125" style="10" bestFit="1" customWidth="1"/>
    <col min="4096" max="4096" width="10.7109375" style="10" bestFit="1" customWidth="1"/>
    <col min="4097" max="4097" width="23.85546875" style="10" customWidth="1"/>
    <col min="4098" max="4098" width="46.140625" style="10" customWidth="1"/>
    <col min="4099" max="4099" width="6.140625" style="10" bestFit="1" customWidth="1"/>
    <col min="4100" max="4100" width="8.85546875" style="10" bestFit="1" customWidth="1"/>
    <col min="4101" max="4101" width="18.5703125" style="10" customWidth="1"/>
    <col min="4102" max="4349" width="9.140625" style="10"/>
    <col min="4350" max="4350" width="9.7109375" style="10" customWidth="1"/>
    <col min="4351" max="4351" width="4.42578125" style="10" bestFit="1" customWidth="1"/>
    <col min="4352" max="4352" width="10.7109375" style="10" bestFit="1" customWidth="1"/>
    <col min="4353" max="4353" width="23.85546875" style="10" customWidth="1"/>
    <col min="4354" max="4354" width="46.140625" style="10" customWidth="1"/>
    <col min="4355" max="4355" width="6.140625" style="10" bestFit="1" customWidth="1"/>
    <col min="4356" max="4356" width="8.85546875" style="10" bestFit="1" customWidth="1"/>
    <col min="4357" max="4357" width="18.5703125" style="10" customWidth="1"/>
    <col min="4358" max="4605" width="9.140625" style="10"/>
    <col min="4606" max="4606" width="9.7109375" style="10" customWidth="1"/>
    <col min="4607" max="4607" width="4.42578125" style="10" bestFit="1" customWidth="1"/>
    <col min="4608" max="4608" width="10.7109375" style="10" bestFit="1" customWidth="1"/>
    <col min="4609" max="4609" width="23.85546875" style="10" customWidth="1"/>
    <col min="4610" max="4610" width="46.140625" style="10" customWidth="1"/>
    <col min="4611" max="4611" width="6.140625" style="10" bestFit="1" customWidth="1"/>
    <col min="4612" max="4612" width="8.85546875" style="10" bestFit="1" customWidth="1"/>
    <col min="4613" max="4613" width="18.5703125" style="10" customWidth="1"/>
    <col min="4614" max="4861" width="9.140625" style="10"/>
    <col min="4862" max="4862" width="9.7109375" style="10" customWidth="1"/>
    <col min="4863" max="4863" width="4.42578125" style="10" bestFit="1" customWidth="1"/>
    <col min="4864" max="4864" width="10.7109375" style="10" bestFit="1" customWidth="1"/>
    <col min="4865" max="4865" width="23.85546875" style="10" customWidth="1"/>
    <col min="4866" max="4866" width="46.140625" style="10" customWidth="1"/>
    <col min="4867" max="4867" width="6.140625" style="10" bestFit="1" customWidth="1"/>
    <col min="4868" max="4868" width="8.85546875" style="10" bestFit="1" customWidth="1"/>
    <col min="4869" max="4869" width="18.5703125" style="10" customWidth="1"/>
    <col min="4870" max="5117" width="9.140625" style="10"/>
    <col min="5118" max="5118" width="9.7109375" style="10" customWidth="1"/>
    <col min="5119" max="5119" width="4.42578125" style="10" bestFit="1" customWidth="1"/>
    <col min="5120" max="5120" width="10.7109375" style="10" bestFit="1" customWidth="1"/>
    <col min="5121" max="5121" width="23.85546875" style="10" customWidth="1"/>
    <col min="5122" max="5122" width="46.140625" style="10" customWidth="1"/>
    <col min="5123" max="5123" width="6.140625" style="10" bestFit="1" customWidth="1"/>
    <col min="5124" max="5124" width="8.85546875" style="10" bestFit="1" customWidth="1"/>
    <col min="5125" max="5125" width="18.5703125" style="10" customWidth="1"/>
    <col min="5126" max="5373" width="9.140625" style="10"/>
    <col min="5374" max="5374" width="9.7109375" style="10" customWidth="1"/>
    <col min="5375" max="5375" width="4.42578125" style="10" bestFit="1" customWidth="1"/>
    <col min="5376" max="5376" width="10.7109375" style="10" bestFit="1" customWidth="1"/>
    <col min="5377" max="5377" width="23.85546875" style="10" customWidth="1"/>
    <col min="5378" max="5378" width="46.140625" style="10" customWidth="1"/>
    <col min="5379" max="5379" width="6.140625" style="10" bestFit="1" customWidth="1"/>
    <col min="5380" max="5380" width="8.85546875" style="10" bestFit="1" customWidth="1"/>
    <col min="5381" max="5381" width="18.5703125" style="10" customWidth="1"/>
    <col min="5382" max="5629" width="9.140625" style="10"/>
    <col min="5630" max="5630" width="9.7109375" style="10" customWidth="1"/>
    <col min="5631" max="5631" width="4.42578125" style="10" bestFit="1" customWidth="1"/>
    <col min="5632" max="5632" width="10.7109375" style="10" bestFit="1" customWidth="1"/>
    <col min="5633" max="5633" width="23.85546875" style="10" customWidth="1"/>
    <col min="5634" max="5634" width="46.140625" style="10" customWidth="1"/>
    <col min="5635" max="5635" width="6.140625" style="10" bestFit="1" customWidth="1"/>
    <col min="5636" max="5636" width="8.85546875" style="10" bestFit="1" customWidth="1"/>
    <col min="5637" max="5637" width="18.5703125" style="10" customWidth="1"/>
    <col min="5638" max="5885" width="9.140625" style="10"/>
    <col min="5886" max="5886" width="9.7109375" style="10" customWidth="1"/>
    <col min="5887" max="5887" width="4.42578125" style="10" bestFit="1" customWidth="1"/>
    <col min="5888" max="5888" width="10.7109375" style="10" bestFit="1" customWidth="1"/>
    <col min="5889" max="5889" width="23.85546875" style="10" customWidth="1"/>
    <col min="5890" max="5890" width="46.140625" style="10" customWidth="1"/>
    <col min="5891" max="5891" width="6.140625" style="10" bestFit="1" customWidth="1"/>
    <col min="5892" max="5892" width="8.85546875" style="10" bestFit="1" customWidth="1"/>
    <col min="5893" max="5893" width="18.5703125" style="10" customWidth="1"/>
    <col min="5894" max="6141" width="9.140625" style="10"/>
    <col min="6142" max="6142" width="9.7109375" style="10" customWidth="1"/>
    <col min="6143" max="6143" width="4.42578125" style="10" bestFit="1" customWidth="1"/>
    <col min="6144" max="6144" width="10.7109375" style="10" bestFit="1" customWidth="1"/>
    <col min="6145" max="6145" width="23.85546875" style="10" customWidth="1"/>
    <col min="6146" max="6146" width="46.140625" style="10" customWidth="1"/>
    <col min="6147" max="6147" width="6.140625" style="10" bestFit="1" customWidth="1"/>
    <col min="6148" max="6148" width="8.85546875" style="10" bestFit="1" customWidth="1"/>
    <col min="6149" max="6149" width="18.5703125" style="10" customWidth="1"/>
    <col min="6150" max="6397" width="9.140625" style="10"/>
    <col min="6398" max="6398" width="9.7109375" style="10" customWidth="1"/>
    <col min="6399" max="6399" width="4.42578125" style="10" bestFit="1" customWidth="1"/>
    <col min="6400" max="6400" width="10.7109375" style="10" bestFit="1" customWidth="1"/>
    <col min="6401" max="6401" width="23.85546875" style="10" customWidth="1"/>
    <col min="6402" max="6402" width="46.140625" style="10" customWidth="1"/>
    <col min="6403" max="6403" width="6.140625" style="10" bestFit="1" customWidth="1"/>
    <col min="6404" max="6404" width="8.85546875" style="10" bestFit="1" customWidth="1"/>
    <col min="6405" max="6405" width="18.5703125" style="10" customWidth="1"/>
    <col min="6406" max="6653" width="9.140625" style="10"/>
    <col min="6654" max="6654" width="9.7109375" style="10" customWidth="1"/>
    <col min="6655" max="6655" width="4.42578125" style="10" bestFit="1" customWidth="1"/>
    <col min="6656" max="6656" width="10.7109375" style="10" bestFit="1" customWidth="1"/>
    <col min="6657" max="6657" width="23.85546875" style="10" customWidth="1"/>
    <col min="6658" max="6658" width="46.140625" style="10" customWidth="1"/>
    <col min="6659" max="6659" width="6.140625" style="10" bestFit="1" customWidth="1"/>
    <col min="6660" max="6660" width="8.85546875" style="10" bestFit="1" customWidth="1"/>
    <col min="6661" max="6661" width="18.5703125" style="10" customWidth="1"/>
    <col min="6662" max="6909" width="9.140625" style="10"/>
    <col min="6910" max="6910" width="9.7109375" style="10" customWidth="1"/>
    <col min="6911" max="6911" width="4.42578125" style="10" bestFit="1" customWidth="1"/>
    <col min="6912" max="6912" width="10.7109375" style="10" bestFit="1" customWidth="1"/>
    <col min="6913" max="6913" width="23.85546875" style="10" customWidth="1"/>
    <col min="6914" max="6914" width="46.140625" style="10" customWidth="1"/>
    <col min="6915" max="6915" width="6.140625" style="10" bestFit="1" customWidth="1"/>
    <col min="6916" max="6916" width="8.85546875" style="10" bestFit="1" customWidth="1"/>
    <col min="6917" max="6917" width="18.5703125" style="10" customWidth="1"/>
    <col min="6918" max="7165" width="9.140625" style="10"/>
    <col min="7166" max="7166" width="9.7109375" style="10" customWidth="1"/>
    <col min="7167" max="7167" width="4.42578125" style="10" bestFit="1" customWidth="1"/>
    <col min="7168" max="7168" width="10.7109375" style="10" bestFit="1" customWidth="1"/>
    <col min="7169" max="7169" width="23.85546875" style="10" customWidth="1"/>
    <col min="7170" max="7170" width="46.140625" style="10" customWidth="1"/>
    <col min="7171" max="7171" width="6.140625" style="10" bestFit="1" customWidth="1"/>
    <col min="7172" max="7172" width="8.85546875" style="10" bestFit="1" customWidth="1"/>
    <col min="7173" max="7173" width="18.5703125" style="10" customWidth="1"/>
    <col min="7174" max="7421" width="9.140625" style="10"/>
    <col min="7422" max="7422" width="9.7109375" style="10" customWidth="1"/>
    <col min="7423" max="7423" width="4.42578125" style="10" bestFit="1" customWidth="1"/>
    <col min="7424" max="7424" width="10.7109375" style="10" bestFit="1" customWidth="1"/>
    <col min="7425" max="7425" width="23.85546875" style="10" customWidth="1"/>
    <col min="7426" max="7426" width="46.140625" style="10" customWidth="1"/>
    <col min="7427" max="7427" width="6.140625" style="10" bestFit="1" customWidth="1"/>
    <col min="7428" max="7428" width="8.85546875" style="10" bestFit="1" customWidth="1"/>
    <col min="7429" max="7429" width="18.5703125" style="10" customWidth="1"/>
    <col min="7430" max="7677" width="9.140625" style="10"/>
    <col min="7678" max="7678" width="9.7109375" style="10" customWidth="1"/>
    <col min="7679" max="7679" width="4.42578125" style="10" bestFit="1" customWidth="1"/>
    <col min="7680" max="7680" width="10.7109375" style="10" bestFit="1" customWidth="1"/>
    <col min="7681" max="7681" width="23.85546875" style="10" customWidth="1"/>
    <col min="7682" max="7682" width="46.140625" style="10" customWidth="1"/>
    <col min="7683" max="7683" width="6.140625" style="10" bestFit="1" customWidth="1"/>
    <col min="7684" max="7684" width="8.85546875" style="10" bestFit="1" customWidth="1"/>
    <col min="7685" max="7685" width="18.5703125" style="10" customWidth="1"/>
    <col min="7686" max="7933" width="9.140625" style="10"/>
    <col min="7934" max="7934" width="9.7109375" style="10" customWidth="1"/>
    <col min="7935" max="7935" width="4.42578125" style="10" bestFit="1" customWidth="1"/>
    <col min="7936" max="7936" width="10.7109375" style="10" bestFit="1" customWidth="1"/>
    <col min="7937" max="7937" width="23.85546875" style="10" customWidth="1"/>
    <col min="7938" max="7938" width="46.140625" style="10" customWidth="1"/>
    <col min="7939" max="7939" width="6.140625" style="10" bestFit="1" customWidth="1"/>
    <col min="7940" max="7940" width="8.85546875" style="10" bestFit="1" customWidth="1"/>
    <col min="7941" max="7941" width="18.5703125" style="10" customWidth="1"/>
    <col min="7942" max="8189" width="9.140625" style="10"/>
    <col min="8190" max="8190" width="9.7109375" style="10" customWidth="1"/>
    <col min="8191" max="8191" width="4.42578125" style="10" bestFit="1" customWidth="1"/>
    <col min="8192" max="8192" width="10.7109375" style="10" bestFit="1" customWidth="1"/>
    <col min="8193" max="8193" width="23.85546875" style="10" customWidth="1"/>
    <col min="8194" max="8194" width="46.140625" style="10" customWidth="1"/>
    <col min="8195" max="8195" width="6.140625" style="10" bestFit="1" customWidth="1"/>
    <col min="8196" max="8196" width="8.85546875" style="10" bestFit="1" customWidth="1"/>
    <col min="8197" max="8197" width="18.5703125" style="10" customWidth="1"/>
    <col min="8198" max="8445" width="9.140625" style="10"/>
    <col min="8446" max="8446" width="9.7109375" style="10" customWidth="1"/>
    <col min="8447" max="8447" width="4.42578125" style="10" bestFit="1" customWidth="1"/>
    <col min="8448" max="8448" width="10.7109375" style="10" bestFit="1" customWidth="1"/>
    <col min="8449" max="8449" width="23.85546875" style="10" customWidth="1"/>
    <col min="8450" max="8450" width="46.140625" style="10" customWidth="1"/>
    <col min="8451" max="8451" width="6.140625" style="10" bestFit="1" customWidth="1"/>
    <col min="8452" max="8452" width="8.85546875" style="10" bestFit="1" customWidth="1"/>
    <col min="8453" max="8453" width="18.5703125" style="10" customWidth="1"/>
    <col min="8454" max="8701" width="9.140625" style="10"/>
    <col min="8702" max="8702" width="9.7109375" style="10" customWidth="1"/>
    <col min="8703" max="8703" width="4.42578125" style="10" bestFit="1" customWidth="1"/>
    <col min="8704" max="8704" width="10.7109375" style="10" bestFit="1" customWidth="1"/>
    <col min="8705" max="8705" width="23.85546875" style="10" customWidth="1"/>
    <col min="8706" max="8706" width="46.140625" style="10" customWidth="1"/>
    <col min="8707" max="8707" width="6.140625" style="10" bestFit="1" customWidth="1"/>
    <col min="8708" max="8708" width="8.85546875" style="10" bestFit="1" customWidth="1"/>
    <col min="8709" max="8709" width="18.5703125" style="10" customWidth="1"/>
    <col min="8710" max="8957" width="9.140625" style="10"/>
    <col min="8958" max="8958" width="9.7109375" style="10" customWidth="1"/>
    <col min="8959" max="8959" width="4.42578125" style="10" bestFit="1" customWidth="1"/>
    <col min="8960" max="8960" width="10.7109375" style="10" bestFit="1" customWidth="1"/>
    <col min="8961" max="8961" width="23.85546875" style="10" customWidth="1"/>
    <col min="8962" max="8962" width="46.140625" style="10" customWidth="1"/>
    <col min="8963" max="8963" width="6.140625" style="10" bestFit="1" customWidth="1"/>
    <col min="8964" max="8964" width="8.85546875" style="10" bestFit="1" customWidth="1"/>
    <col min="8965" max="8965" width="18.5703125" style="10" customWidth="1"/>
    <col min="8966" max="9213" width="9.140625" style="10"/>
    <col min="9214" max="9214" width="9.7109375" style="10" customWidth="1"/>
    <col min="9215" max="9215" width="4.42578125" style="10" bestFit="1" customWidth="1"/>
    <col min="9216" max="9216" width="10.7109375" style="10" bestFit="1" customWidth="1"/>
    <col min="9217" max="9217" width="23.85546875" style="10" customWidth="1"/>
    <col min="9218" max="9218" width="46.140625" style="10" customWidth="1"/>
    <col min="9219" max="9219" width="6.140625" style="10" bestFit="1" customWidth="1"/>
    <col min="9220" max="9220" width="8.85546875" style="10" bestFit="1" customWidth="1"/>
    <col min="9221" max="9221" width="18.5703125" style="10" customWidth="1"/>
    <col min="9222" max="9469" width="9.140625" style="10"/>
    <col min="9470" max="9470" width="9.7109375" style="10" customWidth="1"/>
    <col min="9471" max="9471" width="4.42578125" style="10" bestFit="1" customWidth="1"/>
    <col min="9472" max="9472" width="10.7109375" style="10" bestFit="1" customWidth="1"/>
    <col min="9473" max="9473" width="23.85546875" style="10" customWidth="1"/>
    <col min="9474" max="9474" width="46.140625" style="10" customWidth="1"/>
    <col min="9475" max="9475" width="6.140625" style="10" bestFit="1" customWidth="1"/>
    <col min="9476" max="9476" width="8.85546875" style="10" bestFit="1" customWidth="1"/>
    <col min="9477" max="9477" width="18.5703125" style="10" customWidth="1"/>
    <col min="9478" max="9725" width="9.140625" style="10"/>
    <col min="9726" max="9726" width="9.7109375" style="10" customWidth="1"/>
    <col min="9727" max="9727" width="4.42578125" style="10" bestFit="1" customWidth="1"/>
    <col min="9728" max="9728" width="10.7109375" style="10" bestFit="1" customWidth="1"/>
    <col min="9729" max="9729" width="23.85546875" style="10" customWidth="1"/>
    <col min="9730" max="9730" width="46.140625" style="10" customWidth="1"/>
    <col min="9731" max="9731" width="6.140625" style="10" bestFit="1" customWidth="1"/>
    <col min="9732" max="9732" width="8.85546875" style="10" bestFit="1" customWidth="1"/>
    <col min="9733" max="9733" width="18.5703125" style="10" customWidth="1"/>
    <col min="9734" max="9981" width="9.140625" style="10"/>
    <col min="9982" max="9982" width="9.7109375" style="10" customWidth="1"/>
    <col min="9983" max="9983" width="4.42578125" style="10" bestFit="1" customWidth="1"/>
    <col min="9984" max="9984" width="10.7109375" style="10" bestFit="1" customWidth="1"/>
    <col min="9985" max="9985" width="23.85546875" style="10" customWidth="1"/>
    <col min="9986" max="9986" width="46.140625" style="10" customWidth="1"/>
    <col min="9987" max="9987" width="6.140625" style="10" bestFit="1" customWidth="1"/>
    <col min="9988" max="9988" width="8.85546875" style="10" bestFit="1" customWidth="1"/>
    <col min="9989" max="9989" width="18.5703125" style="10" customWidth="1"/>
    <col min="9990" max="10237" width="9.140625" style="10"/>
    <col min="10238" max="10238" width="9.7109375" style="10" customWidth="1"/>
    <col min="10239" max="10239" width="4.42578125" style="10" bestFit="1" customWidth="1"/>
    <col min="10240" max="10240" width="10.7109375" style="10" bestFit="1" customWidth="1"/>
    <col min="10241" max="10241" width="23.85546875" style="10" customWidth="1"/>
    <col min="10242" max="10242" width="46.140625" style="10" customWidth="1"/>
    <col min="10243" max="10243" width="6.140625" style="10" bestFit="1" customWidth="1"/>
    <col min="10244" max="10244" width="8.85546875" style="10" bestFit="1" customWidth="1"/>
    <col min="10245" max="10245" width="18.5703125" style="10" customWidth="1"/>
    <col min="10246" max="10493" width="9.140625" style="10"/>
    <col min="10494" max="10494" width="9.7109375" style="10" customWidth="1"/>
    <col min="10495" max="10495" width="4.42578125" style="10" bestFit="1" customWidth="1"/>
    <col min="10496" max="10496" width="10.7109375" style="10" bestFit="1" customWidth="1"/>
    <col min="10497" max="10497" width="23.85546875" style="10" customWidth="1"/>
    <col min="10498" max="10498" width="46.140625" style="10" customWidth="1"/>
    <col min="10499" max="10499" width="6.140625" style="10" bestFit="1" customWidth="1"/>
    <col min="10500" max="10500" width="8.85546875" style="10" bestFit="1" customWidth="1"/>
    <col min="10501" max="10501" width="18.5703125" style="10" customWidth="1"/>
    <col min="10502" max="10749" width="9.140625" style="10"/>
    <col min="10750" max="10750" width="9.7109375" style="10" customWidth="1"/>
    <col min="10751" max="10751" width="4.42578125" style="10" bestFit="1" customWidth="1"/>
    <col min="10752" max="10752" width="10.7109375" style="10" bestFit="1" customWidth="1"/>
    <col min="10753" max="10753" width="23.85546875" style="10" customWidth="1"/>
    <col min="10754" max="10754" width="46.140625" style="10" customWidth="1"/>
    <col min="10755" max="10755" width="6.140625" style="10" bestFit="1" customWidth="1"/>
    <col min="10756" max="10756" width="8.85546875" style="10" bestFit="1" customWidth="1"/>
    <col min="10757" max="10757" width="18.5703125" style="10" customWidth="1"/>
    <col min="10758" max="11005" width="9.140625" style="10"/>
    <col min="11006" max="11006" width="9.7109375" style="10" customWidth="1"/>
    <col min="11007" max="11007" width="4.42578125" style="10" bestFit="1" customWidth="1"/>
    <col min="11008" max="11008" width="10.7109375" style="10" bestFit="1" customWidth="1"/>
    <col min="11009" max="11009" width="23.85546875" style="10" customWidth="1"/>
    <col min="11010" max="11010" width="46.140625" style="10" customWidth="1"/>
    <col min="11011" max="11011" width="6.140625" style="10" bestFit="1" customWidth="1"/>
    <col min="11012" max="11012" width="8.85546875" style="10" bestFit="1" customWidth="1"/>
    <col min="11013" max="11013" width="18.5703125" style="10" customWidth="1"/>
    <col min="11014" max="11261" width="9.140625" style="10"/>
    <col min="11262" max="11262" width="9.7109375" style="10" customWidth="1"/>
    <col min="11263" max="11263" width="4.42578125" style="10" bestFit="1" customWidth="1"/>
    <col min="11264" max="11264" width="10.7109375" style="10" bestFit="1" customWidth="1"/>
    <col min="11265" max="11265" width="23.85546875" style="10" customWidth="1"/>
    <col min="11266" max="11266" width="46.140625" style="10" customWidth="1"/>
    <col min="11267" max="11267" width="6.140625" style="10" bestFit="1" customWidth="1"/>
    <col min="11268" max="11268" width="8.85546875" style="10" bestFit="1" customWidth="1"/>
    <col min="11269" max="11269" width="18.5703125" style="10" customWidth="1"/>
    <col min="11270" max="11517" width="9.140625" style="10"/>
    <col min="11518" max="11518" width="9.7109375" style="10" customWidth="1"/>
    <col min="11519" max="11519" width="4.42578125" style="10" bestFit="1" customWidth="1"/>
    <col min="11520" max="11520" width="10.7109375" style="10" bestFit="1" customWidth="1"/>
    <col min="11521" max="11521" width="23.85546875" style="10" customWidth="1"/>
    <col min="11522" max="11522" width="46.140625" style="10" customWidth="1"/>
    <col min="11523" max="11523" width="6.140625" style="10" bestFit="1" customWidth="1"/>
    <col min="11524" max="11524" width="8.85546875" style="10" bestFit="1" customWidth="1"/>
    <col min="11525" max="11525" width="18.5703125" style="10" customWidth="1"/>
    <col min="11526" max="11773" width="9.140625" style="10"/>
    <col min="11774" max="11774" width="9.7109375" style="10" customWidth="1"/>
    <col min="11775" max="11775" width="4.42578125" style="10" bestFit="1" customWidth="1"/>
    <col min="11776" max="11776" width="10.7109375" style="10" bestFit="1" customWidth="1"/>
    <col min="11777" max="11777" width="23.85546875" style="10" customWidth="1"/>
    <col min="11778" max="11778" width="46.140625" style="10" customWidth="1"/>
    <col min="11779" max="11779" width="6.140625" style="10" bestFit="1" customWidth="1"/>
    <col min="11780" max="11780" width="8.85546875" style="10" bestFit="1" customWidth="1"/>
    <col min="11781" max="11781" width="18.5703125" style="10" customWidth="1"/>
    <col min="11782" max="12029" width="9.140625" style="10"/>
    <col min="12030" max="12030" width="9.7109375" style="10" customWidth="1"/>
    <col min="12031" max="12031" width="4.42578125" style="10" bestFit="1" customWidth="1"/>
    <col min="12032" max="12032" width="10.7109375" style="10" bestFit="1" customWidth="1"/>
    <col min="12033" max="12033" width="23.85546875" style="10" customWidth="1"/>
    <col min="12034" max="12034" width="46.140625" style="10" customWidth="1"/>
    <col min="12035" max="12035" width="6.140625" style="10" bestFit="1" customWidth="1"/>
    <col min="12036" max="12036" width="8.85546875" style="10" bestFit="1" customWidth="1"/>
    <col min="12037" max="12037" width="18.5703125" style="10" customWidth="1"/>
    <col min="12038" max="12285" width="9.140625" style="10"/>
    <col min="12286" max="12286" width="9.7109375" style="10" customWidth="1"/>
    <col min="12287" max="12287" width="4.42578125" style="10" bestFit="1" customWidth="1"/>
    <col min="12288" max="12288" width="10.7109375" style="10" bestFit="1" customWidth="1"/>
    <col min="12289" max="12289" width="23.85546875" style="10" customWidth="1"/>
    <col min="12290" max="12290" width="46.140625" style="10" customWidth="1"/>
    <col min="12291" max="12291" width="6.140625" style="10" bestFit="1" customWidth="1"/>
    <col min="12292" max="12292" width="8.85546875" style="10" bestFit="1" customWidth="1"/>
    <col min="12293" max="12293" width="18.5703125" style="10" customWidth="1"/>
    <col min="12294" max="12541" width="9.140625" style="10"/>
    <col min="12542" max="12542" width="9.7109375" style="10" customWidth="1"/>
    <col min="12543" max="12543" width="4.42578125" style="10" bestFit="1" customWidth="1"/>
    <col min="12544" max="12544" width="10.7109375" style="10" bestFit="1" customWidth="1"/>
    <col min="12545" max="12545" width="23.85546875" style="10" customWidth="1"/>
    <col min="12546" max="12546" width="46.140625" style="10" customWidth="1"/>
    <col min="12547" max="12547" width="6.140625" style="10" bestFit="1" customWidth="1"/>
    <col min="12548" max="12548" width="8.85546875" style="10" bestFit="1" customWidth="1"/>
    <col min="12549" max="12549" width="18.5703125" style="10" customWidth="1"/>
    <col min="12550" max="12797" width="9.140625" style="10"/>
    <col min="12798" max="12798" width="9.7109375" style="10" customWidth="1"/>
    <col min="12799" max="12799" width="4.42578125" style="10" bestFit="1" customWidth="1"/>
    <col min="12800" max="12800" width="10.7109375" style="10" bestFit="1" customWidth="1"/>
    <col min="12801" max="12801" width="23.85546875" style="10" customWidth="1"/>
    <col min="12802" max="12802" width="46.140625" style="10" customWidth="1"/>
    <col min="12803" max="12803" width="6.140625" style="10" bestFit="1" customWidth="1"/>
    <col min="12804" max="12804" width="8.85546875" style="10" bestFit="1" customWidth="1"/>
    <col min="12805" max="12805" width="18.5703125" style="10" customWidth="1"/>
    <col min="12806" max="13053" width="9.140625" style="10"/>
    <col min="13054" max="13054" width="9.7109375" style="10" customWidth="1"/>
    <col min="13055" max="13055" width="4.42578125" style="10" bestFit="1" customWidth="1"/>
    <col min="13056" max="13056" width="10.7109375" style="10" bestFit="1" customWidth="1"/>
    <col min="13057" max="13057" width="23.85546875" style="10" customWidth="1"/>
    <col min="13058" max="13058" width="46.140625" style="10" customWidth="1"/>
    <col min="13059" max="13059" width="6.140625" style="10" bestFit="1" customWidth="1"/>
    <col min="13060" max="13060" width="8.85546875" style="10" bestFit="1" customWidth="1"/>
    <col min="13061" max="13061" width="18.5703125" style="10" customWidth="1"/>
    <col min="13062" max="13309" width="9.140625" style="10"/>
    <col min="13310" max="13310" width="9.7109375" style="10" customWidth="1"/>
    <col min="13311" max="13311" width="4.42578125" style="10" bestFit="1" customWidth="1"/>
    <col min="13312" max="13312" width="10.7109375" style="10" bestFit="1" customWidth="1"/>
    <col min="13313" max="13313" width="23.85546875" style="10" customWidth="1"/>
    <col min="13314" max="13314" width="46.140625" style="10" customWidth="1"/>
    <col min="13315" max="13315" width="6.140625" style="10" bestFit="1" customWidth="1"/>
    <col min="13316" max="13316" width="8.85546875" style="10" bestFit="1" customWidth="1"/>
    <col min="13317" max="13317" width="18.5703125" style="10" customWidth="1"/>
    <col min="13318" max="13565" width="9.140625" style="10"/>
    <col min="13566" max="13566" width="9.7109375" style="10" customWidth="1"/>
    <col min="13567" max="13567" width="4.42578125" style="10" bestFit="1" customWidth="1"/>
    <col min="13568" max="13568" width="10.7109375" style="10" bestFit="1" customWidth="1"/>
    <col min="13569" max="13569" width="23.85546875" style="10" customWidth="1"/>
    <col min="13570" max="13570" width="46.140625" style="10" customWidth="1"/>
    <col min="13571" max="13571" width="6.140625" style="10" bestFit="1" customWidth="1"/>
    <col min="13572" max="13572" width="8.85546875" style="10" bestFit="1" customWidth="1"/>
    <col min="13573" max="13573" width="18.5703125" style="10" customWidth="1"/>
    <col min="13574" max="13821" width="9.140625" style="10"/>
    <col min="13822" max="13822" width="9.7109375" style="10" customWidth="1"/>
    <col min="13823" max="13823" width="4.42578125" style="10" bestFit="1" customWidth="1"/>
    <col min="13824" max="13824" width="10.7109375" style="10" bestFit="1" customWidth="1"/>
    <col min="13825" max="13825" width="23.85546875" style="10" customWidth="1"/>
    <col min="13826" max="13826" width="46.140625" style="10" customWidth="1"/>
    <col min="13827" max="13827" width="6.140625" style="10" bestFit="1" customWidth="1"/>
    <col min="13828" max="13828" width="8.85546875" style="10" bestFit="1" customWidth="1"/>
    <col min="13829" max="13829" width="18.5703125" style="10" customWidth="1"/>
    <col min="13830" max="14077" width="9.140625" style="10"/>
    <col min="14078" max="14078" width="9.7109375" style="10" customWidth="1"/>
    <col min="14079" max="14079" width="4.42578125" style="10" bestFit="1" customWidth="1"/>
    <col min="14080" max="14080" width="10.7109375" style="10" bestFit="1" customWidth="1"/>
    <col min="14081" max="14081" width="23.85546875" style="10" customWidth="1"/>
    <col min="14082" max="14082" width="46.140625" style="10" customWidth="1"/>
    <col min="14083" max="14083" width="6.140625" style="10" bestFit="1" customWidth="1"/>
    <col min="14084" max="14084" width="8.85546875" style="10" bestFit="1" customWidth="1"/>
    <col min="14085" max="14085" width="18.5703125" style="10" customWidth="1"/>
    <col min="14086" max="14333" width="9.140625" style="10"/>
    <col min="14334" max="14334" width="9.7109375" style="10" customWidth="1"/>
    <col min="14335" max="14335" width="4.42578125" style="10" bestFit="1" customWidth="1"/>
    <col min="14336" max="14336" width="10.7109375" style="10" bestFit="1" customWidth="1"/>
    <col min="14337" max="14337" width="23.85546875" style="10" customWidth="1"/>
    <col min="14338" max="14338" width="46.140625" style="10" customWidth="1"/>
    <col min="14339" max="14339" width="6.140625" style="10" bestFit="1" customWidth="1"/>
    <col min="14340" max="14340" width="8.85546875" style="10" bestFit="1" customWidth="1"/>
    <col min="14341" max="14341" width="18.5703125" style="10" customWidth="1"/>
    <col min="14342" max="14589" width="9.140625" style="10"/>
    <col min="14590" max="14590" width="9.7109375" style="10" customWidth="1"/>
    <col min="14591" max="14591" width="4.42578125" style="10" bestFit="1" customWidth="1"/>
    <col min="14592" max="14592" width="10.7109375" style="10" bestFit="1" customWidth="1"/>
    <col min="14593" max="14593" width="23.85546875" style="10" customWidth="1"/>
    <col min="14594" max="14594" width="46.140625" style="10" customWidth="1"/>
    <col min="14595" max="14595" width="6.140625" style="10" bestFit="1" customWidth="1"/>
    <col min="14596" max="14596" width="8.85546875" style="10" bestFit="1" customWidth="1"/>
    <col min="14597" max="14597" width="18.5703125" style="10" customWidth="1"/>
    <col min="14598" max="14845" width="9.140625" style="10"/>
    <col min="14846" max="14846" width="9.7109375" style="10" customWidth="1"/>
    <col min="14847" max="14847" width="4.42578125" style="10" bestFit="1" customWidth="1"/>
    <col min="14848" max="14848" width="10.7109375" style="10" bestFit="1" customWidth="1"/>
    <col min="14849" max="14849" width="23.85546875" style="10" customWidth="1"/>
    <col min="14850" max="14850" width="46.140625" style="10" customWidth="1"/>
    <col min="14851" max="14851" width="6.140625" style="10" bestFit="1" customWidth="1"/>
    <col min="14852" max="14852" width="8.85546875" style="10" bestFit="1" customWidth="1"/>
    <col min="14853" max="14853" width="18.5703125" style="10" customWidth="1"/>
    <col min="14854" max="15101" width="9.140625" style="10"/>
    <col min="15102" max="15102" width="9.7109375" style="10" customWidth="1"/>
    <col min="15103" max="15103" width="4.42578125" style="10" bestFit="1" customWidth="1"/>
    <col min="15104" max="15104" width="10.7109375" style="10" bestFit="1" customWidth="1"/>
    <col min="15105" max="15105" width="23.85546875" style="10" customWidth="1"/>
    <col min="15106" max="15106" width="46.140625" style="10" customWidth="1"/>
    <col min="15107" max="15107" width="6.140625" style="10" bestFit="1" customWidth="1"/>
    <col min="15108" max="15108" width="8.85546875" style="10" bestFit="1" customWidth="1"/>
    <col min="15109" max="15109" width="18.5703125" style="10" customWidth="1"/>
    <col min="15110" max="15357" width="9.140625" style="10"/>
    <col min="15358" max="15358" width="9.7109375" style="10" customWidth="1"/>
    <col min="15359" max="15359" width="4.42578125" style="10" bestFit="1" customWidth="1"/>
    <col min="15360" max="15360" width="10.7109375" style="10" bestFit="1" customWidth="1"/>
    <col min="15361" max="15361" width="23.85546875" style="10" customWidth="1"/>
    <col min="15362" max="15362" width="46.140625" style="10" customWidth="1"/>
    <col min="15363" max="15363" width="6.140625" style="10" bestFit="1" customWidth="1"/>
    <col min="15364" max="15364" width="8.85546875" style="10" bestFit="1" customWidth="1"/>
    <col min="15365" max="15365" width="18.5703125" style="10" customWidth="1"/>
    <col min="15366" max="15613" width="9.140625" style="10"/>
    <col min="15614" max="15614" width="9.7109375" style="10" customWidth="1"/>
    <col min="15615" max="15615" width="4.42578125" style="10" bestFit="1" customWidth="1"/>
    <col min="15616" max="15616" width="10.7109375" style="10" bestFit="1" customWidth="1"/>
    <col min="15617" max="15617" width="23.85546875" style="10" customWidth="1"/>
    <col min="15618" max="15618" width="46.140625" style="10" customWidth="1"/>
    <col min="15619" max="15619" width="6.140625" style="10" bestFit="1" customWidth="1"/>
    <col min="15620" max="15620" width="8.85546875" style="10" bestFit="1" customWidth="1"/>
    <col min="15621" max="15621" width="18.5703125" style="10" customWidth="1"/>
    <col min="15622" max="15869" width="9.140625" style="10"/>
    <col min="15870" max="15870" width="9.7109375" style="10" customWidth="1"/>
    <col min="15871" max="15871" width="4.42578125" style="10" bestFit="1" customWidth="1"/>
    <col min="15872" max="15872" width="10.7109375" style="10" bestFit="1" customWidth="1"/>
    <col min="15873" max="15873" width="23.85546875" style="10" customWidth="1"/>
    <col min="15874" max="15874" width="46.140625" style="10" customWidth="1"/>
    <col min="15875" max="15875" width="6.140625" style="10" bestFit="1" customWidth="1"/>
    <col min="15876" max="15876" width="8.85546875" style="10" bestFit="1" customWidth="1"/>
    <col min="15877" max="15877" width="18.5703125" style="10" customWidth="1"/>
    <col min="15878" max="16125" width="9.140625" style="10"/>
    <col min="16126" max="16126" width="9.7109375" style="10" customWidth="1"/>
    <col min="16127" max="16127" width="4.42578125" style="10" bestFit="1" customWidth="1"/>
    <col min="16128" max="16128" width="10.7109375" style="10" bestFit="1" customWidth="1"/>
    <col min="16129" max="16129" width="23.85546875" style="10" customWidth="1"/>
    <col min="16130" max="16130" width="46.140625" style="10" customWidth="1"/>
    <col min="16131" max="16131" width="6.140625" style="10" bestFit="1" customWidth="1"/>
    <col min="16132" max="16132" width="8.85546875" style="10" bestFit="1" customWidth="1"/>
    <col min="16133" max="16133" width="18.5703125" style="10" customWidth="1"/>
    <col min="16134" max="16384" width="9.140625" style="10"/>
  </cols>
  <sheetData>
    <row r="1" spans="1:26" s="6" customFormat="1" ht="17.25" customHeight="1" x14ac:dyDescent="0.25">
      <c r="A1" s="4"/>
      <c r="B1" s="4"/>
      <c r="C1" s="5"/>
      <c r="D1" s="5"/>
      <c r="E1" s="4"/>
      <c r="F1" s="4"/>
      <c r="G1" s="4"/>
      <c r="H1" s="69"/>
      <c r="R1" s="15" t="s">
        <v>44</v>
      </c>
      <c r="S1" s="11"/>
      <c r="T1" s="11"/>
      <c r="U1" s="11"/>
      <c r="V1" s="15"/>
      <c r="W1" s="140" t="s">
        <v>45</v>
      </c>
      <c r="X1" s="140"/>
      <c r="Y1" s="40"/>
      <c r="Z1" s="40"/>
    </row>
    <row r="2" spans="1:26" s="6" customFormat="1" ht="15.75" x14ac:dyDescent="0.25">
      <c r="A2" s="4"/>
      <c r="B2" s="4"/>
      <c r="C2" s="21"/>
      <c r="D2" s="21"/>
      <c r="E2" s="7"/>
      <c r="F2" s="4"/>
      <c r="G2" s="4"/>
      <c r="H2" s="70"/>
      <c r="L2"/>
      <c r="Q2"/>
      <c r="R2" s="140" t="s">
        <v>32</v>
      </c>
      <c r="S2" s="140"/>
      <c r="T2" s="140"/>
      <c r="U2" s="11"/>
      <c r="V2" s="11"/>
      <c r="W2" s="140" t="s">
        <v>17</v>
      </c>
      <c r="X2" s="140"/>
      <c r="Y2" s="40"/>
      <c r="Z2" s="40"/>
    </row>
    <row r="3" spans="1:26" s="6" customFormat="1" ht="15.75" x14ac:dyDescent="0.25">
      <c r="A3" s="48"/>
      <c r="B3" s="48"/>
      <c r="C3" s="49"/>
      <c r="D3" s="49"/>
      <c r="E3" s="48"/>
      <c r="F3" s="51" t="s">
        <v>37</v>
      </c>
      <c r="G3" s="48"/>
      <c r="H3" s="71"/>
      <c r="I3"/>
      <c r="J3"/>
      <c r="K3"/>
      <c r="L3"/>
      <c r="O3" s="20"/>
      <c r="Q3"/>
      <c r="R3" s="15"/>
      <c r="S3" s="15"/>
      <c r="T3" s="140" t="s">
        <v>29</v>
      </c>
      <c r="U3" s="140"/>
      <c r="V3" s="140"/>
      <c r="W3" s="15"/>
      <c r="X3" s="15"/>
      <c r="Y3" s="40"/>
      <c r="Z3" s="40"/>
    </row>
    <row r="4" spans="1:26" s="6" customFormat="1" ht="14.25" customHeight="1" x14ac:dyDescent="0.25">
      <c r="A4" s="48"/>
      <c r="B4" s="48"/>
      <c r="C4" s="49"/>
      <c r="D4" s="49"/>
      <c r="E4" s="48"/>
      <c r="F4" s="48"/>
      <c r="G4" s="48"/>
      <c r="H4" s="71"/>
      <c r="I4"/>
      <c r="J4"/>
      <c r="K4" s="14"/>
      <c r="L4" s="14"/>
      <c r="Q4"/>
      <c r="R4" s="15"/>
      <c r="S4" s="23"/>
      <c r="T4" s="140" t="s">
        <v>18</v>
      </c>
      <c r="U4" s="140"/>
      <c r="V4" s="140"/>
      <c r="W4" s="15"/>
      <c r="X4" s="15"/>
      <c r="Y4" s="40"/>
      <c r="Z4" s="40"/>
    </row>
    <row r="5" spans="1:26" s="7" customFormat="1" ht="15" customHeight="1" x14ac:dyDescent="0.25">
      <c r="A5" s="52" t="s">
        <v>43</v>
      </c>
      <c r="B5" s="52" t="s">
        <v>137</v>
      </c>
      <c r="C5" s="50"/>
      <c r="D5" s="52"/>
      <c r="E5" s="52"/>
      <c r="F5" s="52"/>
      <c r="G5" s="52"/>
      <c r="H5" s="72"/>
      <c r="I5"/>
      <c r="J5"/>
      <c r="K5" s="14"/>
      <c r="L5" s="14"/>
      <c r="M5"/>
      <c r="N5"/>
      <c r="O5"/>
      <c r="P5"/>
      <c r="Q5"/>
      <c r="R5" s="15"/>
      <c r="S5" s="23"/>
      <c r="T5" s="11"/>
      <c r="U5" s="15"/>
      <c r="V5" s="15"/>
      <c r="W5" s="15"/>
      <c r="X5" s="15"/>
      <c r="Y5" s="28"/>
      <c r="Z5" s="28"/>
    </row>
    <row r="6" spans="1:26" s="7" customFormat="1" ht="12.75" customHeight="1" x14ac:dyDescent="0.25">
      <c r="A6" s="52" t="s">
        <v>38</v>
      </c>
      <c r="B6" s="64" t="s">
        <v>138</v>
      </c>
      <c r="C6" s="50"/>
      <c r="D6" s="52"/>
      <c r="E6" s="52"/>
      <c r="F6" s="52"/>
      <c r="G6" s="52"/>
      <c r="H6" s="72"/>
      <c r="I6"/>
      <c r="J6"/>
      <c r="K6" s="14"/>
      <c r="L6" s="14"/>
      <c r="M6"/>
      <c r="N6"/>
      <c r="O6" s="19"/>
      <c r="P6"/>
      <c r="Q6"/>
      <c r="R6" s="15"/>
      <c r="S6" s="11"/>
      <c r="W6" s="11"/>
      <c r="X6" s="15"/>
      <c r="Y6" s="28"/>
      <c r="Z6" s="28"/>
    </row>
    <row r="7" spans="1:26" s="7" customFormat="1" ht="18" customHeight="1" x14ac:dyDescent="0.25">
      <c r="A7" s="48" t="s">
        <v>39</v>
      </c>
      <c r="B7" s="63" t="s">
        <v>139</v>
      </c>
      <c r="C7" s="50"/>
      <c r="D7" s="49"/>
      <c r="E7" s="48"/>
      <c r="F7" s="48"/>
      <c r="G7" s="48"/>
      <c r="H7" s="71"/>
      <c r="I7"/>
      <c r="J7"/>
      <c r="K7" s="14"/>
      <c r="L7" s="14"/>
      <c r="M7"/>
      <c r="N7"/>
      <c r="O7"/>
      <c r="P7"/>
      <c r="Q7"/>
      <c r="R7" s="24"/>
      <c r="S7" s="24"/>
      <c r="W7" s="24"/>
      <c r="X7" s="24"/>
      <c r="Y7" s="28"/>
      <c r="Z7" s="28"/>
    </row>
    <row r="8" spans="1:26" s="7" customFormat="1" ht="15.75" customHeight="1" x14ac:dyDescent="0.25">
      <c r="A8" s="50"/>
      <c r="B8" s="50" t="s">
        <v>140</v>
      </c>
      <c r="C8" s="50"/>
      <c r="D8" s="50"/>
      <c r="E8" s="50"/>
      <c r="F8" s="50"/>
      <c r="G8" s="50"/>
      <c r="H8" s="71"/>
      <c r="I8"/>
      <c r="J8"/>
      <c r="K8"/>
      <c r="L8"/>
      <c r="M8"/>
      <c r="N8"/>
      <c r="O8" t="s">
        <v>46</v>
      </c>
      <c r="P8" t="s">
        <v>47</v>
      </c>
      <c r="Q8"/>
      <c r="R8" s="13" t="s">
        <v>0</v>
      </c>
      <c r="S8" s="13" t="s">
        <v>1</v>
      </c>
      <c r="T8" t="s">
        <v>33</v>
      </c>
      <c r="U8" t="s">
        <v>31</v>
      </c>
      <c r="V8"/>
    </row>
    <row r="9" spans="1:26" s="8" customFormat="1" ht="18" x14ac:dyDescent="0.25">
      <c r="A9" s="53"/>
      <c r="B9" s="53"/>
      <c r="C9" s="53"/>
      <c r="D9" s="54"/>
      <c r="E9" s="54"/>
      <c r="F9" s="54"/>
      <c r="G9" s="54"/>
      <c r="H9" s="73"/>
      <c r="I9"/>
      <c r="J9"/>
      <c r="K9"/>
      <c r="L9"/>
      <c r="M9"/>
      <c r="N9"/>
      <c r="O9" s="16" t="str">
        <f>+IF(AND(R9&gt;1,R9&lt;&gt;"Total "),"N6","")</f>
        <v>N6</v>
      </c>
      <c r="P9" s="17" t="str">
        <f>+IF(AND(R9&gt;1,R9&lt;&gt;"Total "),"NI0101A024","")</f>
        <v>NI0101A024</v>
      </c>
      <c r="Q9" s="8">
        <f>+IF(AND(R9&gt;1,R9&lt;&gt;"Total "),Q8+1,"")</f>
        <v>1</v>
      </c>
      <c r="R9">
        <v>206971</v>
      </c>
      <c r="S9" t="s">
        <v>253</v>
      </c>
      <c r="T9" s="14">
        <v>2</v>
      </c>
      <c r="U9" s="42">
        <v>130</v>
      </c>
      <c r="V9"/>
    </row>
    <row r="10" spans="1:26" s="9" customFormat="1" ht="18" x14ac:dyDescent="0.25">
      <c r="A10" s="55" t="s">
        <v>40</v>
      </c>
      <c r="B10" s="54" t="s">
        <v>41</v>
      </c>
      <c r="C10" s="54"/>
      <c r="D10" s="54"/>
      <c r="E10" s="54"/>
      <c r="F10" s="54"/>
      <c r="G10" s="54"/>
      <c r="H10" s="71"/>
      <c r="I10"/>
      <c r="J10"/>
      <c r="K10"/>
      <c r="L10"/>
      <c r="M10"/>
      <c r="N10"/>
      <c r="O10" s="33" t="str">
        <f>+IF(AND(R10&gt;1,R10&lt;&gt;"Total C$"),"N6","")</f>
        <v>N6</v>
      </c>
      <c r="P10" s="17" t="str">
        <f>+IF(AND(R10&gt;1,R10&lt;&gt;"Total "),"NI0101A024","")</f>
        <v>NI0101A024</v>
      </c>
      <c r="Q10" s="34">
        <f>+IF(AND(R10&gt;1,R10&lt;&gt;"Total C$"),Q9+1,"")</f>
        <v>2</v>
      </c>
      <c r="R10">
        <v>202280</v>
      </c>
      <c r="S10" t="s">
        <v>232</v>
      </c>
      <c r="T10" s="14">
        <v>5</v>
      </c>
      <c r="U10" s="42">
        <v>175</v>
      </c>
      <c r="V10"/>
    </row>
    <row r="11" spans="1:26" s="9" customFormat="1" ht="18.75" thickBot="1" x14ac:dyDescent="0.3">
      <c r="A11" s="60" t="s">
        <v>42</v>
      </c>
      <c r="B11" s="60" t="s">
        <v>332</v>
      </c>
      <c r="C11" s="57"/>
      <c r="D11" s="56"/>
      <c r="E11" s="56"/>
      <c r="F11" s="56"/>
      <c r="G11" s="56"/>
      <c r="H11" s="74"/>
      <c r="I11" s="29"/>
      <c r="J11"/>
      <c r="K11"/>
      <c r="L11"/>
      <c r="M11"/>
      <c r="N11"/>
      <c r="O11" s="33" t="str">
        <f t="shared" ref="O11:O74" si="0">+IF(AND(R11&gt;1,R11&lt;&gt;"Total C$"),"N6","")</f>
        <v>N6</v>
      </c>
      <c r="P11" s="17" t="str">
        <f t="shared" ref="P11:P16" si="1">+IF(AND(R11&gt;1,R11&lt;&gt;"Total "),"NI0101A024","")</f>
        <v>NI0101A024</v>
      </c>
      <c r="Q11" s="34">
        <f t="shared" ref="Q11:Q74" si="2">+IF(AND(R11&gt;1,R11&lt;&gt;"Total C$"),Q10+1,"")</f>
        <v>3</v>
      </c>
      <c r="R11">
        <v>202121</v>
      </c>
      <c r="S11" t="s">
        <v>230</v>
      </c>
      <c r="T11" s="14">
        <v>7</v>
      </c>
      <c r="U11" s="42">
        <v>275</v>
      </c>
      <c r="V11"/>
    </row>
    <row r="12" spans="1:26" s="9" customFormat="1" ht="18" x14ac:dyDescent="0.25">
      <c r="A12" s="22"/>
      <c r="B12" s="22"/>
      <c r="C12" s="22"/>
      <c r="D12" s="22"/>
      <c r="E12" s="22"/>
      <c r="F12" s="22"/>
      <c r="G12" s="22"/>
      <c r="H12" s="75"/>
      <c r="I12" s="30"/>
      <c r="J12"/>
      <c r="K12"/>
      <c r="L12"/>
      <c r="M12"/>
      <c r="N12"/>
      <c r="O12" s="33" t="str">
        <f t="shared" si="0"/>
        <v>N6</v>
      </c>
      <c r="P12" s="17" t="str">
        <f t="shared" si="1"/>
        <v>NI0101A024</v>
      </c>
      <c r="Q12" s="34">
        <f t="shared" si="2"/>
        <v>4</v>
      </c>
      <c r="R12">
        <v>211419</v>
      </c>
      <c r="S12" t="s">
        <v>130</v>
      </c>
      <c r="T12" s="14">
        <v>10</v>
      </c>
      <c r="U12" s="42">
        <v>350</v>
      </c>
      <c r="V12"/>
    </row>
    <row r="13" spans="1:26" s="9" customFormat="1" ht="18" x14ac:dyDescent="0.25">
      <c r="A13" s="141" t="s">
        <v>141</v>
      </c>
      <c r="B13" s="141"/>
      <c r="C13" s="141"/>
      <c r="D13" s="141"/>
      <c r="E13" s="141"/>
      <c r="F13" s="141"/>
      <c r="G13" s="141"/>
      <c r="H13" s="141"/>
      <c r="I13" s="141"/>
      <c r="J13"/>
      <c r="K13"/>
      <c r="L13"/>
      <c r="M13"/>
      <c r="N13"/>
      <c r="O13" s="33" t="str">
        <f t="shared" si="0"/>
        <v>N6</v>
      </c>
      <c r="P13" s="17" t="str">
        <f t="shared" si="1"/>
        <v>NI0101A024</v>
      </c>
      <c r="Q13" s="34">
        <f t="shared" si="2"/>
        <v>5</v>
      </c>
      <c r="R13">
        <v>202191</v>
      </c>
      <c r="S13" t="s">
        <v>65</v>
      </c>
      <c r="T13" s="14">
        <v>11</v>
      </c>
      <c r="U13" s="42">
        <v>985</v>
      </c>
      <c r="V13"/>
    </row>
    <row r="14" spans="1:26" s="9" customFormat="1" ht="18" x14ac:dyDescent="0.25">
      <c r="A14" s="141" t="s">
        <v>333</v>
      </c>
      <c r="B14" s="141"/>
      <c r="C14" s="141"/>
      <c r="D14" s="141"/>
      <c r="E14" s="141"/>
      <c r="F14" s="141"/>
      <c r="G14" s="141"/>
      <c r="H14" s="141"/>
      <c r="I14" s="141"/>
      <c r="J14"/>
      <c r="K14"/>
      <c r="L14"/>
      <c r="M14"/>
      <c r="N14"/>
      <c r="O14" s="33" t="str">
        <f t="shared" si="0"/>
        <v>N6</v>
      </c>
      <c r="P14" s="17" t="str">
        <f t="shared" si="1"/>
        <v>NI0101A024</v>
      </c>
      <c r="Q14" s="34">
        <f t="shared" si="2"/>
        <v>6</v>
      </c>
      <c r="R14">
        <v>203391</v>
      </c>
      <c r="S14" t="s">
        <v>77</v>
      </c>
      <c r="T14" s="14">
        <v>7</v>
      </c>
      <c r="U14" s="42">
        <v>565</v>
      </c>
      <c r="V14"/>
    </row>
    <row r="15" spans="1:26" s="8" customFormat="1" ht="18.75" thickBot="1" x14ac:dyDescent="0.3">
      <c r="A15" s="67"/>
      <c r="B15" s="65"/>
      <c r="C15" s="65"/>
      <c r="D15" s="65"/>
      <c r="E15" s="65"/>
      <c r="F15" s="65"/>
      <c r="G15" s="65"/>
      <c r="H15" s="76"/>
      <c r="I15" s="66"/>
      <c r="J15"/>
      <c r="K15"/>
      <c r="L15"/>
      <c r="M15"/>
      <c r="N15"/>
      <c r="O15" s="33" t="str">
        <f t="shared" si="0"/>
        <v>N6</v>
      </c>
      <c r="P15" s="17" t="str">
        <f t="shared" si="1"/>
        <v>NI0101A024</v>
      </c>
      <c r="Q15" s="34">
        <f t="shared" si="2"/>
        <v>7</v>
      </c>
      <c r="R15">
        <v>204108</v>
      </c>
      <c r="S15" t="s">
        <v>243</v>
      </c>
      <c r="T15" s="14">
        <v>2</v>
      </c>
      <c r="U15" s="42">
        <v>100</v>
      </c>
      <c r="V15"/>
    </row>
    <row r="16" spans="1:26" s="31" customFormat="1" ht="15" x14ac:dyDescent="0.25">
      <c r="A16" s="47"/>
      <c r="B16" s="58" t="s">
        <v>46</v>
      </c>
      <c r="C16" s="59" t="s">
        <v>47</v>
      </c>
      <c r="D16" s="59" t="s">
        <v>13</v>
      </c>
      <c r="E16" s="59" t="s">
        <v>14</v>
      </c>
      <c r="F16" s="59" t="s">
        <v>15</v>
      </c>
      <c r="G16" s="59" t="s">
        <v>48</v>
      </c>
      <c r="H16" s="68" t="s">
        <v>7</v>
      </c>
      <c r="I16" s="32"/>
      <c r="J16" s="32"/>
      <c r="K16" s="32"/>
      <c r="L16" s="32"/>
      <c r="M16" s="32"/>
      <c r="N16" s="32"/>
      <c r="O16" s="33" t="str">
        <f t="shared" si="0"/>
        <v>N6</v>
      </c>
      <c r="P16" s="17" t="str">
        <f t="shared" si="1"/>
        <v>NI0101A024</v>
      </c>
      <c r="Q16" s="34">
        <f t="shared" si="2"/>
        <v>8</v>
      </c>
      <c r="R16">
        <v>204112</v>
      </c>
      <c r="S16" t="s">
        <v>101</v>
      </c>
      <c r="T16" s="14">
        <v>10</v>
      </c>
      <c r="U16" s="42">
        <v>350</v>
      </c>
      <c r="V16"/>
    </row>
    <row r="17" spans="1:22" s="31" customFormat="1" ht="15" x14ac:dyDescent="0.25">
      <c r="A17" s="36"/>
      <c r="B17" s="82" t="s">
        <v>16</v>
      </c>
      <c r="C17" s="83" t="s">
        <v>136</v>
      </c>
      <c r="D17" s="83">
        <v>1</v>
      </c>
      <c r="E17" s="83">
        <v>206971</v>
      </c>
      <c r="F17" s="83" t="s">
        <v>253</v>
      </c>
      <c r="G17" s="83">
        <v>2</v>
      </c>
      <c r="H17" s="169">
        <v>130</v>
      </c>
      <c r="I17" s="32"/>
      <c r="J17" s="32"/>
      <c r="K17" s="32"/>
      <c r="L17" s="32"/>
      <c r="M17" s="32"/>
      <c r="N17" s="32"/>
      <c r="O17" s="33" t="str">
        <f t="shared" si="0"/>
        <v>N6</v>
      </c>
      <c r="P17" s="17" t="str">
        <f t="shared" ref="P17:P80" si="3">+IF(AND(R17&gt;1,R17&lt;&gt;"Total "),"NI0101A024","")</f>
        <v>NI0101A024</v>
      </c>
      <c r="Q17" s="34">
        <f t="shared" si="2"/>
        <v>9</v>
      </c>
      <c r="R17">
        <v>206970</v>
      </c>
      <c r="S17" t="s">
        <v>252</v>
      </c>
      <c r="T17" s="14">
        <v>9</v>
      </c>
      <c r="U17" s="42">
        <v>315</v>
      </c>
      <c r="V17"/>
    </row>
    <row r="18" spans="1:22" s="31" customFormat="1" ht="15" x14ac:dyDescent="0.25">
      <c r="A18" s="36"/>
      <c r="B18" s="83" t="s">
        <v>16</v>
      </c>
      <c r="C18" s="83" t="s">
        <v>136</v>
      </c>
      <c r="D18" s="83">
        <v>2</v>
      </c>
      <c r="E18" s="83">
        <v>202280</v>
      </c>
      <c r="F18" s="83" t="s">
        <v>232</v>
      </c>
      <c r="G18" s="83">
        <v>5</v>
      </c>
      <c r="H18" s="169">
        <v>175</v>
      </c>
      <c r="I18" s="32"/>
      <c r="J18" s="32"/>
      <c r="K18" s="32"/>
      <c r="L18" s="32"/>
      <c r="M18" s="32"/>
      <c r="N18" s="32"/>
      <c r="O18" s="33" t="str">
        <f t="shared" si="0"/>
        <v>N6</v>
      </c>
      <c r="P18" s="17" t="str">
        <f t="shared" si="3"/>
        <v>NI0101A024</v>
      </c>
      <c r="Q18" s="34">
        <f t="shared" si="2"/>
        <v>10</v>
      </c>
      <c r="R18">
        <v>202113</v>
      </c>
      <c r="S18" t="s">
        <v>228</v>
      </c>
      <c r="T18" s="14">
        <v>8</v>
      </c>
      <c r="U18" s="42">
        <v>280</v>
      </c>
      <c r="V18"/>
    </row>
    <row r="19" spans="1:22" s="31" customFormat="1" ht="15" x14ac:dyDescent="0.25">
      <c r="A19" s="36"/>
      <c r="B19" s="83" t="s">
        <v>16</v>
      </c>
      <c r="C19" s="83" t="s">
        <v>136</v>
      </c>
      <c r="D19" s="83">
        <v>3</v>
      </c>
      <c r="E19" s="83">
        <v>202121</v>
      </c>
      <c r="F19" s="83" t="s">
        <v>230</v>
      </c>
      <c r="G19" s="83">
        <v>7</v>
      </c>
      <c r="H19" s="169">
        <v>275</v>
      </c>
      <c r="I19" s="32"/>
      <c r="J19" s="32"/>
      <c r="K19" s="32"/>
      <c r="L19" s="32"/>
      <c r="M19" s="32"/>
      <c r="N19" s="32"/>
      <c r="O19" s="33" t="str">
        <f t="shared" si="0"/>
        <v>N6</v>
      </c>
      <c r="P19" s="17" t="str">
        <f t="shared" si="3"/>
        <v>NI0101A024</v>
      </c>
      <c r="Q19" s="34">
        <f t="shared" si="2"/>
        <v>11</v>
      </c>
      <c r="R19">
        <v>204854</v>
      </c>
      <c r="S19" t="s">
        <v>248</v>
      </c>
      <c r="T19" s="14">
        <v>10</v>
      </c>
      <c r="U19" s="42">
        <v>350</v>
      </c>
      <c r="V19"/>
    </row>
    <row r="20" spans="1:22" s="31" customFormat="1" ht="15" x14ac:dyDescent="0.25">
      <c r="A20" s="36"/>
      <c r="B20" s="83" t="s">
        <v>16</v>
      </c>
      <c r="C20" s="83" t="s">
        <v>136</v>
      </c>
      <c r="D20" s="83">
        <v>4</v>
      </c>
      <c r="E20" s="83">
        <v>211419</v>
      </c>
      <c r="F20" s="83" t="s">
        <v>130</v>
      </c>
      <c r="G20" s="83">
        <v>10</v>
      </c>
      <c r="H20" s="169">
        <v>350</v>
      </c>
      <c r="I20" s="32"/>
      <c r="J20" s="32"/>
      <c r="K20" s="32"/>
      <c r="M20" s="32"/>
      <c r="N20" s="32"/>
      <c r="O20" s="33" t="str">
        <f t="shared" si="0"/>
        <v>N6</v>
      </c>
      <c r="P20" s="17" t="str">
        <f t="shared" si="3"/>
        <v>NI0101A024</v>
      </c>
      <c r="Q20" s="34">
        <f t="shared" si="2"/>
        <v>12</v>
      </c>
      <c r="R20">
        <v>209398</v>
      </c>
      <c r="S20" t="s">
        <v>115</v>
      </c>
      <c r="T20" s="14">
        <v>6</v>
      </c>
      <c r="U20" s="42">
        <v>210</v>
      </c>
      <c r="V20"/>
    </row>
    <row r="21" spans="1:22" s="31" customFormat="1" ht="15" x14ac:dyDescent="0.25">
      <c r="A21" s="36"/>
      <c r="B21" s="83" t="s">
        <v>16</v>
      </c>
      <c r="C21" s="83" t="s">
        <v>136</v>
      </c>
      <c r="D21" s="83">
        <v>5</v>
      </c>
      <c r="E21" s="83">
        <v>202191</v>
      </c>
      <c r="F21" s="83" t="s">
        <v>65</v>
      </c>
      <c r="G21" s="83">
        <v>11</v>
      </c>
      <c r="H21" s="169">
        <v>985</v>
      </c>
      <c r="M21" s="32"/>
      <c r="N21" s="32"/>
      <c r="O21" s="33" t="str">
        <f t="shared" si="0"/>
        <v>N6</v>
      </c>
      <c r="P21" s="17" t="str">
        <f t="shared" ref="P21:P26" si="4">+IF(AND(R21&gt;1,R21&lt;&gt;"Total "),"NI0101A024","")</f>
        <v>NI0101A024</v>
      </c>
      <c r="Q21" s="34">
        <f t="shared" si="2"/>
        <v>13</v>
      </c>
      <c r="R21">
        <v>203339</v>
      </c>
      <c r="S21" t="s">
        <v>70</v>
      </c>
      <c r="T21" s="14">
        <v>4</v>
      </c>
      <c r="U21" s="42">
        <v>200</v>
      </c>
      <c r="V21"/>
    </row>
    <row r="22" spans="1:22" s="34" customFormat="1" ht="15" x14ac:dyDescent="0.25">
      <c r="A22" s="36"/>
      <c r="B22" s="83" t="s">
        <v>16</v>
      </c>
      <c r="C22" s="83" t="s">
        <v>136</v>
      </c>
      <c r="D22" s="83">
        <v>6</v>
      </c>
      <c r="E22" s="83">
        <v>203391</v>
      </c>
      <c r="F22" s="83" t="s">
        <v>77</v>
      </c>
      <c r="G22" s="83">
        <v>7</v>
      </c>
      <c r="H22" s="169">
        <v>565</v>
      </c>
      <c r="O22" s="33" t="str">
        <f t="shared" si="0"/>
        <v>N6</v>
      </c>
      <c r="P22" s="17" t="str">
        <f t="shared" si="4"/>
        <v>NI0101A024</v>
      </c>
      <c r="Q22" s="34">
        <f t="shared" si="2"/>
        <v>14</v>
      </c>
      <c r="R22">
        <v>210787</v>
      </c>
      <c r="S22" t="s">
        <v>260</v>
      </c>
      <c r="T22" s="14">
        <v>1</v>
      </c>
      <c r="U22" s="42">
        <v>35</v>
      </c>
      <c r="V22"/>
    </row>
    <row r="23" spans="1:22" s="31" customFormat="1" ht="15" x14ac:dyDescent="0.25">
      <c r="A23" s="36"/>
      <c r="B23" s="83" t="s">
        <v>16</v>
      </c>
      <c r="C23" s="83" t="s">
        <v>136</v>
      </c>
      <c r="D23" s="83">
        <v>7</v>
      </c>
      <c r="E23" s="83">
        <v>204108</v>
      </c>
      <c r="F23" s="83" t="s">
        <v>243</v>
      </c>
      <c r="G23" s="83">
        <v>2</v>
      </c>
      <c r="H23" s="169">
        <v>100</v>
      </c>
      <c r="O23" s="33" t="str">
        <f t="shared" si="0"/>
        <v>N6</v>
      </c>
      <c r="P23" s="17" t="str">
        <f t="shared" si="4"/>
        <v>NI0101A024</v>
      </c>
      <c r="Q23" s="34">
        <f t="shared" si="2"/>
        <v>15</v>
      </c>
      <c r="R23">
        <v>204118</v>
      </c>
      <c r="S23" t="s">
        <v>246</v>
      </c>
      <c r="T23" s="14">
        <v>9</v>
      </c>
      <c r="U23" s="42">
        <v>315</v>
      </c>
      <c r="V23"/>
    </row>
    <row r="24" spans="1:22" s="31" customFormat="1" ht="15" x14ac:dyDescent="0.25">
      <c r="A24" s="36"/>
      <c r="B24" s="83" t="s">
        <v>16</v>
      </c>
      <c r="C24" s="83" t="s">
        <v>136</v>
      </c>
      <c r="D24" s="83">
        <v>8</v>
      </c>
      <c r="E24" s="83">
        <v>204112</v>
      </c>
      <c r="F24" s="83" t="s">
        <v>101</v>
      </c>
      <c r="G24" s="83">
        <v>10</v>
      </c>
      <c r="H24" s="169">
        <v>350</v>
      </c>
      <c r="O24" s="33" t="str">
        <f t="shared" si="0"/>
        <v>N6</v>
      </c>
      <c r="P24" s="17" t="str">
        <f t="shared" si="4"/>
        <v>NI0101A024</v>
      </c>
      <c r="Q24" s="34">
        <f t="shared" si="2"/>
        <v>16</v>
      </c>
      <c r="R24">
        <v>212248</v>
      </c>
      <c r="S24" t="s">
        <v>263</v>
      </c>
      <c r="T24" s="14">
        <v>10</v>
      </c>
      <c r="U24" s="42">
        <v>350</v>
      </c>
      <c r="V24"/>
    </row>
    <row r="25" spans="1:22" s="34" customFormat="1" ht="15" x14ac:dyDescent="0.25">
      <c r="A25" s="36"/>
      <c r="B25" s="83" t="s">
        <v>16</v>
      </c>
      <c r="C25" s="83" t="s">
        <v>136</v>
      </c>
      <c r="D25" s="83">
        <v>9</v>
      </c>
      <c r="E25" s="83">
        <v>206970</v>
      </c>
      <c r="F25" s="83" t="s">
        <v>252</v>
      </c>
      <c r="G25" s="83">
        <v>9</v>
      </c>
      <c r="H25" s="169">
        <v>315</v>
      </c>
      <c r="O25" s="33" t="str">
        <f t="shared" si="0"/>
        <v>N6</v>
      </c>
      <c r="P25" s="17" t="str">
        <f t="shared" si="4"/>
        <v>NI0101A024</v>
      </c>
      <c r="Q25" s="34">
        <f t="shared" si="2"/>
        <v>17</v>
      </c>
      <c r="R25">
        <v>203469</v>
      </c>
      <c r="S25" t="s">
        <v>144</v>
      </c>
      <c r="T25" s="14">
        <v>2</v>
      </c>
      <c r="U25" s="42">
        <v>70</v>
      </c>
      <c r="V25"/>
    </row>
    <row r="26" spans="1:22" s="31" customFormat="1" ht="15" x14ac:dyDescent="0.25">
      <c r="A26" s="36"/>
      <c r="B26" s="83" t="s">
        <v>16</v>
      </c>
      <c r="C26" s="83" t="s">
        <v>136</v>
      </c>
      <c r="D26" s="83">
        <v>10</v>
      </c>
      <c r="E26" s="83">
        <v>202113</v>
      </c>
      <c r="F26" s="83" t="s">
        <v>228</v>
      </c>
      <c r="G26" s="83">
        <v>8</v>
      </c>
      <c r="H26" s="169">
        <v>280</v>
      </c>
      <c r="O26" s="33" t="str">
        <f t="shared" si="0"/>
        <v>N6</v>
      </c>
      <c r="P26" s="17" t="str">
        <f t="shared" si="4"/>
        <v>NI0101A024</v>
      </c>
      <c r="Q26" s="34">
        <f t="shared" si="2"/>
        <v>18</v>
      </c>
      <c r="R26">
        <v>202120</v>
      </c>
      <c r="S26" t="s">
        <v>229</v>
      </c>
      <c r="T26" s="14">
        <v>2</v>
      </c>
      <c r="U26" s="42">
        <v>100</v>
      </c>
      <c r="V26"/>
    </row>
    <row r="27" spans="1:22" s="31" customFormat="1" ht="15" x14ac:dyDescent="0.25">
      <c r="A27" s="36"/>
      <c r="B27" s="83" t="s">
        <v>16</v>
      </c>
      <c r="C27" s="83" t="s">
        <v>136</v>
      </c>
      <c r="D27" s="83">
        <v>11</v>
      </c>
      <c r="E27" s="83">
        <v>204854</v>
      </c>
      <c r="F27" s="83" t="s">
        <v>248</v>
      </c>
      <c r="G27" s="83">
        <v>10</v>
      </c>
      <c r="H27" s="169">
        <v>350</v>
      </c>
      <c r="O27" s="33" t="str">
        <f t="shared" si="0"/>
        <v>N6</v>
      </c>
      <c r="P27" s="17" t="str">
        <f t="shared" si="3"/>
        <v>NI0101A024</v>
      </c>
      <c r="Q27" s="34">
        <f t="shared" si="2"/>
        <v>19</v>
      </c>
      <c r="R27">
        <v>209780</v>
      </c>
      <c r="S27" t="s">
        <v>259</v>
      </c>
      <c r="T27" s="14">
        <v>10</v>
      </c>
      <c r="U27" s="42">
        <v>350</v>
      </c>
      <c r="V27"/>
    </row>
    <row r="28" spans="1:22" s="31" customFormat="1" ht="15" x14ac:dyDescent="0.25">
      <c r="A28" s="36"/>
      <c r="B28" s="83" t="s">
        <v>16</v>
      </c>
      <c r="C28" s="83" t="s">
        <v>136</v>
      </c>
      <c r="D28" s="83">
        <v>12</v>
      </c>
      <c r="E28" s="83">
        <v>209398</v>
      </c>
      <c r="F28" s="83" t="s">
        <v>115</v>
      </c>
      <c r="G28" s="83">
        <v>6</v>
      </c>
      <c r="H28" s="169">
        <v>210</v>
      </c>
      <c r="O28" s="33" t="str">
        <f t="shared" si="0"/>
        <v>N6</v>
      </c>
      <c r="P28" s="17" t="str">
        <f>+IF(AND(R28&gt;1,R28&lt;&gt;"Total "),"NI0101A024","")</f>
        <v>NI0101A024</v>
      </c>
      <c r="Q28" s="34">
        <f t="shared" si="2"/>
        <v>20</v>
      </c>
      <c r="R28">
        <v>212187</v>
      </c>
      <c r="S28" t="s">
        <v>151</v>
      </c>
      <c r="T28" s="14">
        <v>5</v>
      </c>
      <c r="U28" s="42">
        <v>405</v>
      </c>
      <c r="V28"/>
    </row>
    <row r="29" spans="1:22" s="31" customFormat="1" ht="15" x14ac:dyDescent="0.25">
      <c r="A29" s="36"/>
      <c r="B29" s="83" t="s">
        <v>16</v>
      </c>
      <c r="C29" s="83" t="s">
        <v>136</v>
      </c>
      <c r="D29" s="83">
        <v>13</v>
      </c>
      <c r="E29" s="83">
        <v>203339</v>
      </c>
      <c r="F29" s="83" t="s">
        <v>70</v>
      </c>
      <c r="G29" s="83">
        <v>4</v>
      </c>
      <c r="H29" s="169">
        <v>200</v>
      </c>
      <c r="O29" s="33" t="str">
        <f t="shared" si="0"/>
        <v>N6</v>
      </c>
      <c r="P29" s="17" t="str">
        <f t="shared" si="3"/>
        <v>NI0101A024</v>
      </c>
      <c r="Q29" s="34">
        <f t="shared" si="2"/>
        <v>21</v>
      </c>
      <c r="R29">
        <v>206966</v>
      </c>
      <c r="S29" t="s">
        <v>251</v>
      </c>
      <c r="T29" s="14">
        <v>3</v>
      </c>
      <c r="U29" s="42">
        <v>195</v>
      </c>
      <c r="V29"/>
    </row>
    <row r="30" spans="1:22" s="31" customFormat="1" ht="15" x14ac:dyDescent="0.25">
      <c r="A30" s="36"/>
      <c r="B30" s="83" t="s">
        <v>16</v>
      </c>
      <c r="C30" s="83" t="s">
        <v>136</v>
      </c>
      <c r="D30" s="83">
        <v>14</v>
      </c>
      <c r="E30" s="83">
        <v>210787</v>
      </c>
      <c r="F30" s="83" t="s">
        <v>260</v>
      </c>
      <c r="G30" s="83">
        <v>1</v>
      </c>
      <c r="H30" s="169">
        <v>35</v>
      </c>
      <c r="O30" s="33" t="str">
        <f t="shared" si="0"/>
        <v>N6</v>
      </c>
      <c r="P30" s="17" t="str">
        <f>+IF(AND(R30&gt;1,R30&lt;&gt;"Total "),"NI0101A024","")</f>
        <v>NI0101A024</v>
      </c>
      <c r="Q30" s="34">
        <f t="shared" si="2"/>
        <v>22</v>
      </c>
      <c r="R30">
        <v>210471</v>
      </c>
      <c r="S30" t="s">
        <v>148</v>
      </c>
      <c r="T30" s="14">
        <v>10</v>
      </c>
      <c r="U30" s="42">
        <v>350</v>
      </c>
      <c r="V30"/>
    </row>
    <row r="31" spans="1:22" s="31" customFormat="1" ht="15" x14ac:dyDescent="0.25">
      <c r="A31" s="36"/>
      <c r="B31" s="83" t="s">
        <v>16</v>
      </c>
      <c r="C31" s="83" t="s">
        <v>136</v>
      </c>
      <c r="D31" s="83">
        <v>15</v>
      </c>
      <c r="E31" s="83">
        <v>204118</v>
      </c>
      <c r="F31" s="83" t="s">
        <v>246</v>
      </c>
      <c r="G31" s="83">
        <v>9</v>
      </c>
      <c r="H31" s="169">
        <v>315</v>
      </c>
      <c r="O31" s="33" t="str">
        <f t="shared" si="0"/>
        <v>N6</v>
      </c>
      <c r="P31" s="17" t="str">
        <f t="shared" si="3"/>
        <v>NI0101A024</v>
      </c>
      <c r="Q31" s="34">
        <f t="shared" si="2"/>
        <v>23</v>
      </c>
      <c r="R31">
        <v>212244</v>
      </c>
      <c r="S31" t="s">
        <v>262</v>
      </c>
      <c r="T31" s="14">
        <v>7</v>
      </c>
      <c r="U31" s="42">
        <v>245</v>
      </c>
      <c r="V31"/>
    </row>
    <row r="32" spans="1:22" s="31" customFormat="1" ht="15" x14ac:dyDescent="0.25">
      <c r="A32" s="36"/>
      <c r="B32" s="83" t="s">
        <v>16</v>
      </c>
      <c r="C32" s="83" t="s">
        <v>136</v>
      </c>
      <c r="D32" s="83">
        <v>16</v>
      </c>
      <c r="E32" s="83">
        <v>212248</v>
      </c>
      <c r="F32" s="83" t="s">
        <v>263</v>
      </c>
      <c r="G32" s="83">
        <v>10</v>
      </c>
      <c r="H32" s="169">
        <v>350</v>
      </c>
      <c r="O32" s="33" t="str">
        <f t="shared" si="0"/>
        <v>N6</v>
      </c>
      <c r="P32" s="17" t="str">
        <f>+IF(AND(R32&gt;1,R32&lt;&gt;"Total "),"NI0101A024","")</f>
        <v>NI0101A024</v>
      </c>
      <c r="Q32" s="34">
        <f t="shared" si="2"/>
        <v>24</v>
      </c>
      <c r="R32">
        <v>212314</v>
      </c>
      <c r="S32" t="s">
        <v>162</v>
      </c>
      <c r="T32" s="14">
        <v>13</v>
      </c>
      <c r="U32" s="42">
        <v>1310</v>
      </c>
      <c r="V32"/>
    </row>
    <row r="33" spans="1:22" s="31" customFormat="1" ht="15" x14ac:dyDescent="0.25">
      <c r="A33" s="36"/>
      <c r="B33" s="83" t="s">
        <v>16</v>
      </c>
      <c r="C33" s="83" t="s">
        <v>136</v>
      </c>
      <c r="D33" s="83">
        <v>17</v>
      </c>
      <c r="E33" s="83">
        <v>203469</v>
      </c>
      <c r="F33" s="83" t="s">
        <v>144</v>
      </c>
      <c r="G33" s="83">
        <v>2</v>
      </c>
      <c r="H33" s="169">
        <v>70</v>
      </c>
      <c r="O33" s="33" t="str">
        <f t="shared" si="0"/>
        <v>N6</v>
      </c>
      <c r="P33" s="17" t="str">
        <f>+IF(AND(R33&gt;1,R33&lt;&gt;"Total "),"NI0101A024","")</f>
        <v>NI0101A024</v>
      </c>
      <c r="Q33" s="34">
        <f t="shared" si="2"/>
        <v>25</v>
      </c>
      <c r="R33">
        <v>212407</v>
      </c>
      <c r="S33" t="s">
        <v>163</v>
      </c>
      <c r="T33" s="14">
        <v>9</v>
      </c>
      <c r="U33" s="42">
        <v>315</v>
      </c>
      <c r="V33"/>
    </row>
    <row r="34" spans="1:22" s="31" customFormat="1" ht="15" x14ac:dyDescent="0.25">
      <c r="A34" s="36"/>
      <c r="B34" s="83" t="s">
        <v>16</v>
      </c>
      <c r="C34" s="83" t="s">
        <v>136</v>
      </c>
      <c r="D34" s="83">
        <v>18</v>
      </c>
      <c r="E34" s="83">
        <v>202120</v>
      </c>
      <c r="F34" s="83" t="s">
        <v>229</v>
      </c>
      <c r="G34" s="83">
        <v>2</v>
      </c>
      <c r="H34" s="169">
        <v>100</v>
      </c>
      <c r="O34" s="33" t="str">
        <f t="shared" si="0"/>
        <v>N6</v>
      </c>
      <c r="P34" s="17" t="str">
        <f t="shared" si="3"/>
        <v>NI0101A024</v>
      </c>
      <c r="Q34" s="34">
        <f t="shared" si="2"/>
        <v>26</v>
      </c>
      <c r="R34">
        <v>211319</v>
      </c>
      <c r="S34" t="s">
        <v>149</v>
      </c>
      <c r="T34" s="14">
        <v>3</v>
      </c>
      <c r="U34" s="42">
        <v>135</v>
      </c>
      <c r="V34"/>
    </row>
    <row r="35" spans="1:22" s="31" customFormat="1" ht="15" x14ac:dyDescent="0.25">
      <c r="A35" s="36"/>
      <c r="B35" s="83" t="s">
        <v>16</v>
      </c>
      <c r="C35" s="83" t="s">
        <v>136</v>
      </c>
      <c r="D35" s="83">
        <v>19</v>
      </c>
      <c r="E35" s="83">
        <v>209780</v>
      </c>
      <c r="F35" s="83" t="s">
        <v>259</v>
      </c>
      <c r="G35" s="83">
        <v>10</v>
      </c>
      <c r="H35" s="169">
        <v>350</v>
      </c>
      <c r="O35" s="33" t="str">
        <f t="shared" si="0"/>
        <v>N6</v>
      </c>
      <c r="P35" s="17" t="str">
        <f t="shared" si="3"/>
        <v>NI0101A024</v>
      </c>
      <c r="Q35" s="34">
        <f t="shared" si="2"/>
        <v>27</v>
      </c>
      <c r="R35">
        <v>206988</v>
      </c>
      <c r="S35" t="s">
        <v>254</v>
      </c>
      <c r="T35" s="14">
        <v>10</v>
      </c>
      <c r="U35" s="42">
        <v>350</v>
      </c>
      <c r="V35"/>
    </row>
    <row r="36" spans="1:22" s="31" customFormat="1" ht="15" x14ac:dyDescent="0.25">
      <c r="A36" s="36"/>
      <c r="B36" s="83" t="s">
        <v>16</v>
      </c>
      <c r="C36" s="83" t="s">
        <v>136</v>
      </c>
      <c r="D36" s="83">
        <v>20</v>
      </c>
      <c r="E36" s="83">
        <v>212187</v>
      </c>
      <c r="F36" s="83" t="s">
        <v>151</v>
      </c>
      <c r="G36" s="83">
        <v>5</v>
      </c>
      <c r="H36" s="169">
        <v>405</v>
      </c>
      <c r="O36" s="33" t="str">
        <f t="shared" si="0"/>
        <v>N6</v>
      </c>
      <c r="P36" s="17" t="str">
        <f t="shared" si="3"/>
        <v>NI0101A024</v>
      </c>
      <c r="Q36" s="34">
        <f t="shared" si="2"/>
        <v>28</v>
      </c>
      <c r="R36">
        <v>212620</v>
      </c>
      <c r="S36" t="s">
        <v>265</v>
      </c>
      <c r="T36" s="14">
        <v>9</v>
      </c>
      <c r="U36" s="42">
        <v>1080</v>
      </c>
      <c r="V36"/>
    </row>
    <row r="37" spans="1:22" s="34" customFormat="1" ht="15" x14ac:dyDescent="0.25">
      <c r="A37" s="36"/>
      <c r="B37" s="83" t="s">
        <v>16</v>
      </c>
      <c r="C37" s="83" t="s">
        <v>136</v>
      </c>
      <c r="D37" s="83">
        <v>21</v>
      </c>
      <c r="E37" s="83">
        <v>206966</v>
      </c>
      <c r="F37" s="83" t="s">
        <v>251</v>
      </c>
      <c r="G37" s="83">
        <v>3</v>
      </c>
      <c r="H37" s="169">
        <v>195</v>
      </c>
      <c r="O37" s="33" t="str">
        <f t="shared" si="0"/>
        <v>N6</v>
      </c>
      <c r="P37" s="17" t="str">
        <f t="shared" si="3"/>
        <v>NI0101A024</v>
      </c>
      <c r="Q37" s="34">
        <f t="shared" si="2"/>
        <v>29</v>
      </c>
      <c r="R37">
        <v>212619</v>
      </c>
      <c r="S37" t="s">
        <v>175</v>
      </c>
      <c r="T37" s="14">
        <v>1</v>
      </c>
      <c r="U37" s="42">
        <v>65</v>
      </c>
      <c r="V37"/>
    </row>
    <row r="38" spans="1:22" s="31" customFormat="1" ht="15" x14ac:dyDescent="0.25">
      <c r="A38" s="36"/>
      <c r="B38" s="83" t="s">
        <v>16</v>
      </c>
      <c r="C38" s="83" t="s">
        <v>136</v>
      </c>
      <c r="D38" s="83">
        <v>22</v>
      </c>
      <c r="E38" s="83">
        <v>210471</v>
      </c>
      <c r="F38" s="83" t="s">
        <v>148</v>
      </c>
      <c r="G38" s="83">
        <v>10</v>
      </c>
      <c r="H38" s="169">
        <v>350</v>
      </c>
      <c r="O38" s="33" t="str">
        <f t="shared" si="0"/>
        <v>N6</v>
      </c>
      <c r="P38" s="17" t="str">
        <f t="shared" si="3"/>
        <v>NI0101A024</v>
      </c>
      <c r="Q38" s="34">
        <f t="shared" si="2"/>
        <v>30</v>
      </c>
      <c r="R38">
        <v>208244</v>
      </c>
      <c r="S38" t="s">
        <v>256</v>
      </c>
      <c r="T38" s="14">
        <v>13</v>
      </c>
      <c r="U38" s="42">
        <v>1195</v>
      </c>
      <c r="V38"/>
    </row>
    <row r="39" spans="1:22" s="31" customFormat="1" ht="15" x14ac:dyDescent="0.25">
      <c r="A39" s="36"/>
      <c r="B39" s="83" t="s">
        <v>16</v>
      </c>
      <c r="C39" s="83" t="s">
        <v>136</v>
      </c>
      <c r="D39" s="83">
        <v>23</v>
      </c>
      <c r="E39" s="83">
        <v>212244</v>
      </c>
      <c r="F39" s="83" t="s">
        <v>262</v>
      </c>
      <c r="G39" s="83">
        <v>7</v>
      </c>
      <c r="H39" s="169">
        <v>245</v>
      </c>
      <c r="O39" s="33" t="str">
        <f t="shared" si="0"/>
        <v>N6</v>
      </c>
      <c r="P39" s="17" t="str">
        <f t="shared" si="3"/>
        <v>NI0101A024</v>
      </c>
      <c r="Q39" s="34">
        <f t="shared" si="2"/>
        <v>31</v>
      </c>
      <c r="R39">
        <v>203394</v>
      </c>
      <c r="S39" t="s">
        <v>235</v>
      </c>
      <c r="T39" s="14">
        <v>6</v>
      </c>
      <c r="U39" s="42">
        <v>210</v>
      </c>
      <c r="V39"/>
    </row>
    <row r="40" spans="1:22" s="31" customFormat="1" ht="15" x14ac:dyDescent="0.25">
      <c r="A40" s="36"/>
      <c r="B40" s="83" t="s">
        <v>16</v>
      </c>
      <c r="C40" s="83" t="s">
        <v>136</v>
      </c>
      <c r="D40" s="83">
        <v>24</v>
      </c>
      <c r="E40" s="83">
        <v>212314</v>
      </c>
      <c r="F40" s="83" t="s">
        <v>162</v>
      </c>
      <c r="G40" s="83">
        <v>13</v>
      </c>
      <c r="H40" s="169">
        <v>1310</v>
      </c>
      <c r="O40" s="33" t="str">
        <f t="shared" si="0"/>
        <v>N6</v>
      </c>
      <c r="P40" s="17" t="str">
        <f t="shared" si="3"/>
        <v>NI0101A024</v>
      </c>
      <c r="Q40" s="34">
        <f t="shared" si="2"/>
        <v>32</v>
      </c>
      <c r="R40">
        <v>208966</v>
      </c>
      <c r="S40" t="s">
        <v>257</v>
      </c>
      <c r="T40" s="14">
        <v>2</v>
      </c>
      <c r="U40" s="42">
        <v>70</v>
      </c>
      <c r="V40"/>
    </row>
    <row r="41" spans="1:22" s="31" customFormat="1" ht="15" x14ac:dyDescent="0.25">
      <c r="A41" s="36"/>
      <c r="B41" s="83" t="s">
        <v>16</v>
      </c>
      <c r="C41" s="83" t="s">
        <v>136</v>
      </c>
      <c r="D41" s="83">
        <v>25</v>
      </c>
      <c r="E41" s="83">
        <v>212407</v>
      </c>
      <c r="F41" s="83" t="s">
        <v>163</v>
      </c>
      <c r="G41" s="83">
        <v>9</v>
      </c>
      <c r="H41" s="169">
        <v>315</v>
      </c>
      <c r="O41" s="33" t="str">
        <f t="shared" si="0"/>
        <v>N6</v>
      </c>
      <c r="P41" s="17" t="str">
        <f t="shared" si="3"/>
        <v>NI0101A024</v>
      </c>
      <c r="Q41" s="34">
        <f t="shared" si="2"/>
        <v>33</v>
      </c>
      <c r="R41">
        <v>203689</v>
      </c>
      <c r="S41" t="s">
        <v>176</v>
      </c>
      <c r="T41" s="14">
        <v>2</v>
      </c>
      <c r="U41" s="42">
        <v>130</v>
      </c>
      <c r="V41"/>
    </row>
    <row r="42" spans="1:22" s="31" customFormat="1" ht="15" x14ac:dyDescent="0.25">
      <c r="A42" s="36"/>
      <c r="B42" s="83" t="s">
        <v>16</v>
      </c>
      <c r="C42" s="83" t="s">
        <v>136</v>
      </c>
      <c r="D42" s="83">
        <v>26</v>
      </c>
      <c r="E42" s="83">
        <v>211319</v>
      </c>
      <c r="F42" s="83" t="s">
        <v>149</v>
      </c>
      <c r="G42" s="83">
        <v>3</v>
      </c>
      <c r="H42" s="169">
        <v>135</v>
      </c>
      <c r="O42" s="33" t="str">
        <f t="shared" si="0"/>
        <v>N6</v>
      </c>
      <c r="P42" s="17" t="str">
        <f t="shared" si="3"/>
        <v>NI0101A024</v>
      </c>
      <c r="Q42" s="34">
        <f t="shared" si="2"/>
        <v>34</v>
      </c>
      <c r="R42">
        <v>211475</v>
      </c>
      <c r="S42" t="s">
        <v>173</v>
      </c>
      <c r="T42" s="14">
        <v>10</v>
      </c>
      <c r="U42" s="42">
        <v>440</v>
      </c>
    </row>
    <row r="43" spans="1:22" s="31" customFormat="1" ht="11.25" customHeight="1" x14ac:dyDescent="0.25">
      <c r="A43" s="36"/>
      <c r="B43" s="83" t="s">
        <v>16</v>
      </c>
      <c r="C43" s="83" t="s">
        <v>136</v>
      </c>
      <c r="D43" s="83">
        <v>27</v>
      </c>
      <c r="E43" s="83">
        <v>206988</v>
      </c>
      <c r="F43" s="83" t="s">
        <v>254</v>
      </c>
      <c r="G43" s="83">
        <v>10</v>
      </c>
      <c r="H43" s="169">
        <v>350</v>
      </c>
      <c r="O43" s="33" t="str">
        <f t="shared" si="0"/>
        <v>N6</v>
      </c>
      <c r="P43" s="17" t="str">
        <f t="shared" si="3"/>
        <v>NI0101A024</v>
      </c>
      <c r="Q43" s="34">
        <f t="shared" si="2"/>
        <v>35</v>
      </c>
      <c r="R43">
        <v>207318</v>
      </c>
      <c r="S43" t="s">
        <v>177</v>
      </c>
      <c r="T43" s="14">
        <v>5</v>
      </c>
      <c r="U43" s="42">
        <v>265</v>
      </c>
    </row>
    <row r="44" spans="1:22" s="31" customFormat="1" ht="13.5" customHeight="1" x14ac:dyDescent="0.25">
      <c r="A44" s="36"/>
      <c r="B44" s="83" t="s">
        <v>16</v>
      </c>
      <c r="C44" s="83" t="s">
        <v>136</v>
      </c>
      <c r="D44" s="83">
        <v>28</v>
      </c>
      <c r="E44" s="83">
        <v>212620</v>
      </c>
      <c r="F44" s="83" t="s">
        <v>265</v>
      </c>
      <c r="G44" s="83">
        <v>9</v>
      </c>
      <c r="H44" s="169">
        <v>1080</v>
      </c>
      <c r="O44" s="33" t="str">
        <f t="shared" si="0"/>
        <v>N6</v>
      </c>
      <c r="P44" s="17" t="str">
        <f t="shared" si="3"/>
        <v>NI0101A024</v>
      </c>
      <c r="Q44" s="34">
        <f t="shared" si="2"/>
        <v>36</v>
      </c>
      <c r="R44">
        <v>210345</v>
      </c>
      <c r="S44" t="s">
        <v>147</v>
      </c>
      <c r="T44" s="14">
        <v>5</v>
      </c>
      <c r="U44" s="42">
        <v>205</v>
      </c>
    </row>
    <row r="45" spans="1:22" s="31" customFormat="1" ht="13.5" customHeight="1" x14ac:dyDescent="0.25">
      <c r="A45" s="36"/>
      <c r="B45" s="83" t="s">
        <v>16</v>
      </c>
      <c r="C45" s="83" t="s">
        <v>136</v>
      </c>
      <c r="D45" s="83">
        <v>29</v>
      </c>
      <c r="E45" s="83">
        <v>212619</v>
      </c>
      <c r="F45" s="83" t="s">
        <v>175</v>
      </c>
      <c r="G45" s="83">
        <v>1</v>
      </c>
      <c r="H45" s="169">
        <v>65</v>
      </c>
      <c r="O45" s="33" t="str">
        <f t="shared" si="0"/>
        <v>N6</v>
      </c>
      <c r="P45" s="17" t="str">
        <f t="shared" si="3"/>
        <v>NI0101A024</v>
      </c>
      <c r="Q45" s="34">
        <f t="shared" si="2"/>
        <v>37</v>
      </c>
      <c r="R45">
        <v>212226</v>
      </c>
      <c r="S45" t="s">
        <v>155</v>
      </c>
      <c r="T45" s="14">
        <v>1</v>
      </c>
      <c r="U45" s="42">
        <v>35</v>
      </c>
    </row>
    <row r="46" spans="1:22" s="31" customFormat="1" ht="13.5" customHeight="1" x14ac:dyDescent="0.25">
      <c r="A46" s="36"/>
      <c r="B46" s="83" t="s">
        <v>16</v>
      </c>
      <c r="C46" s="83" t="s">
        <v>136</v>
      </c>
      <c r="D46" s="83">
        <v>30</v>
      </c>
      <c r="E46" s="83">
        <v>208244</v>
      </c>
      <c r="F46" s="83" t="s">
        <v>256</v>
      </c>
      <c r="G46" s="83">
        <v>13</v>
      </c>
      <c r="H46" s="169">
        <v>1195</v>
      </c>
      <c r="O46" s="33" t="str">
        <f t="shared" si="0"/>
        <v>N6</v>
      </c>
      <c r="P46" s="17" t="str">
        <f>+IF(AND(R46&gt;1,R46&lt;&gt;"Total "),"NI0101A024","")</f>
        <v>NI0101A024</v>
      </c>
      <c r="Q46" s="34">
        <f t="shared" si="2"/>
        <v>38</v>
      </c>
      <c r="R46">
        <v>212383</v>
      </c>
      <c r="S46" t="s">
        <v>208</v>
      </c>
      <c r="T46" s="14">
        <v>7</v>
      </c>
      <c r="U46" s="42">
        <v>415</v>
      </c>
    </row>
    <row r="47" spans="1:22" s="31" customFormat="1" ht="13.5" customHeight="1" x14ac:dyDescent="0.25">
      <c r="A47" s="36"/>
      <c r="B47" s="83" t="s">
        <v>16</v>
      </c>
      <c r="C47" s="83" t="s">
        <v>136</v>
      </c>
      <c r="D47" s="83">
        <v>31</v>
      </c>
      <c r="E47" s="83">
        <v>203394</v>
      </c>
      <c r="F47" s="83" t="s">
        <v>235</v>
      </c>
      <c r="G47" s="83">
        <v>6</v>
      </c>
      <c r="H47" s="169">
        <v>210</v>
      </c>
      <c r="O47" s="33" t="str">
        <f t="shared" si="0"/>
        <v>N6</v>
      </c>
      <c r="P47" s="17" t="str">
        <f t="shared" si="3"/>
        <v>NI0101A024</v>
      </c>
      <c r="Q47" s="34">
        <f t="shared" si="2"/>
        <v>39</v>
      </c>
      <c r="R47">
        <v>203428</v>
      </c>
      <c r="S47" t="s">
        <v>79</v>
      </c>
      <c r="T47" s="14">
        <v>10</v>
      </c>
      <c r="U47" s="42">
        <v>350</v>
      </c>
    </row>
    <row r="48" spans="1:22" s="31" customFormat="1" ht="13.5" customHeight="1" x14ac:dyDescent="0.25">
      <c r="A48" s="36"/>
      <c r="B48" s="83" t="s">
        <v>16</v>
      </c>
      <c r="C48" s="83" t="s">
        <v>136</v>
      </c>
      <c r="D48" s="83">
        <v>32</v>
      </c>
      <c r="E48" s="83">
        <v>208966</v>
      </c>
      <c r="F48" s="83" t="s">
        <v>257</v>
      </c>
      <c r="G48" s="83">
        <v>2</v>
      </c>
      <c r="H48" s="169">
        <v>70</v>
      </c>
      <c r="O48" s="33" t="str">
        <f t="shared" si="0"/>
        <v>N6</v>
      </c>
      <c r="P48" s="17" t="str">
        <f>+IF(AND(R48&gt;1,R48&lt;&gt;"Total "),"NI0101A024","")</f>
        <v>NI0101A024</v>
      </c>
      <c r="Q48" s="34">
        <f t="shared" si="2"/>
        <v>40</v>
      </c>
      <c r="R48">
        <v>212998</v>
      </c>
      <c r="S48" t="s">
        <v>207</v>
      </c>
      <c r="T48" s="14">
        <v>1</v>
      </c>
      <c r="U48" s="42">
        <v>120</v>
      </c>
    </row>
    <row r="49" spans="1:21" s="31" customFormat="1" ht="15" x14ac:dyDescent="0.25">
      <c r="A49" s="36"/>
      <c r="B49" s="83" t="s">
        <v>16</v>
      </c>
      <c r="C49" s="83" t="s">
        <v>136</v>
      </c>
      <c r="D49" s="83">
        <v>33</v>
      </c>
      <c r="E49" s="83">
        <v>203689</v>
      </c>
      <c r="F49" s="83" t="s">
        <v>176</v>
      </c>
      <c r="G49" s="83">
        <v>2</v>
      </c>
      <c r="H49" s="169">
        <v>130</v>
      </c>
      <c r="O49" s="33" t="str">
        <f t="shared" si="0"/>
        <v>N6</v>
      </c>
      <c r="P49" s="17" t="str">
        <f>+IF(AND(R49&gt;1,R49&lt;&gt;"Total "),"NI0101A024","")</f>
        <v>NI0101A024</v>
      </c>
      <c r="Q49" s="34">
        <f t="shared" si="2"/>
        <v>41</v>
      </c>
      <c r="R49">
        <v>204136</v>
      </c>
      <c r="S49" t="s">
        <v>105</v>
      </c>
      <c r="T49" s="14">
        <v>5</v>
      </c>
      <c r="U49" s="42">
        <v>205</v>
      </c>
    </row>
    <row r="50" spans="1:21" s="31" customFormat="1" ht="11.25" customHeight="1" x14ac:dyDescent="0.25">
      <c r="A50" s="36"/>
      <c r="B50" s="83" t="s">
        <v>16</v>
      </c>
      <c r="C50" s="83" t="s">
        <v>136</v>
      </c>
      <c r="D50" s="83">
        <v>34</v>
      </c>
      <c r="E50" s="83">
        <v>211475</v>
      </c>
      <c r="F50" s="83" t="s">
        <v>173</v>
      </c>
      <c r="G50" s="83">
        <v>10</v>
      </c>
      <c r="H50" s="169">
        <v>440</v>
      </c>
      <c r="O50" s="33" t="str">
        <f t="shared" si="0"/>
        <v>N6</v>
      </c>
      <c r="P50" s="17" t="str">
        <f t="shared" si="3"/>
        <v>NI0101A024</v>
      </c>
      <c r="Q50" s="34">
        <f t="shared" si="2"/>
        <v>42</v>
      </c>
      <c r="R50">
        <v>203609</v>
      </c>
      <c r="S50" t="s">
        <v>200</v>
      </c>
      <c r="T50" s="14">
        <v>2</v>
      </c>
      <c r="U50" s="42">
        <v>100</v>
      </c>
    </row>
    <row r="51" spans="1:21" s="31" customFormat="1" ht="11.25" customHeight="1" x14ac:dyDescent="0.25">
      <c r="A51" s="36"/>
      <c r="B51" s="83" t="s">
        <v>16</v>
      </c>
      <c r="C51" s="83" t="s">
        <v>136</v>
      </c>
      <c r="D51" s="83">
        <v>35</v>
      </c>
      <c r="E51" s="83">
        <v>207318</v>
      </c>
      <c r="F51" s="83" t="s">
        <v>177</v>
      </c>
      <c r="G51" s="83">
        <v>5</v>
      </c>
      <c r="H51" s="169">
        <v>265</v>
      </c>
      <c r="O51" s="33" t="str">
        <f t="shared" si="0"/>
        <v>N6</v>
      </c>
      <c r="P51" s="17" t="str">
        <f t="shared" si="3"/>
        <v>NI0101A024</v>
      </c>
      <c r="Q51" s="34">
        <f t="shared" si="2"/>
        <v>43</v>
      </c>
      <c r="R51">
        <v>213008</v>
      </c>
      <c r="S51" t="s">
        <v>268</v>
      </c>
      <c r="T51" s="14">
        <v>10</v>
      </c>
      <c r="U51" s="42">
        <v>920</v>
      </c>
    </row>
    <row r="52" spans="1:21" s="31" customFormat="1" ht="11.25" customHeight="1" x14ac:dyDescent="0.25">
      <c r="A52" s="36"/>
      <c r="B52" s="83" t="s">
        <v>16</v>
      </c>
      <c r="C52" s="83" t="s">
        <v>136</v>
      </c>
      <c r="D52" s="83">
        <v>36</v>
      </c>
      <c r="E52" s="83">
        <v>210345</v>
      </c>
      <c r="F52" s="83" t="s">
        <v>147</v>
      </c>
      <c r="G52" s="83">
        <v>5</v>
      </c>
      <c r="H52" s="169">
        <v>205</v>
      </c>
      <c r="O52" s="33" t="str">
        <f t="shared" si="0"/>
        <v>N6</v>
      </c>
      <c r="P52" s="17" t="str">
        <f>+IF(AND(R52&gt;1,R52&lt;&gt;"Total "),"NI0101A024","")</f>
        <v>NI0101A024</v>
      </c>
      <c r="Q52" s="34">
        <f t="shared" si="2"/>
        <v>44</v>
      </c>
      <c r="R52">
        <v>213002</v>
      </c>
      <c r="S52" t="s">
        <v>205</v>
      </c>
      <c r="T52" s="14">
        <v>12</v>
      </c>
      <c r="U52" s="42">
        <v>1275</v>
      </c>
    </row>
    <row r="53" spans="1:21" s="31" customFormat="1" ht="11.25" customHeight="1" x14ac:dyDescent="0.25">
      <c r="A53" s="36"/>
      <c r="B53" s="83" t="s">
        <v>16</v>
      </c>
      <c r="C53" s="83" t="s">
        <v>136</v>
      </c>
      <c r="D53" s="83">
        <v>37</v>
      </c>
      <c r="E53" s="83">
        <v>212226</v>
      </c>
      <c r="F53" s="83" t="s">
        <v>155</v>
      </c>
      <c r="G53" s="83">
        <v>1</v>
      </c>
      <c r="H53" s="169">
        <v>35</v>
      </c>
      <c r="O53" s="33" t="str">
        <f t="shared" si="0"/>
        <v>N6</v>
      </c>
      <c r="P53" s="17" t="str">
        <f t="shared" si="3"/>
        <v>NI0101A024</v>
      </c>
      <c r="Q53" s="34">
        <f t="shared" si="2"/>
        <v>45</v>
      </c>
      <c r="R53">
        <v>208496</v>
      </c>
      <c r="S53" t="s">
        <v>201</v>
      </c>
      <c r="T53" s="14">
        <v>3</v>
      </c>
      <c r="U53" s="42">
        <v>135</v>
      </c>
    </row>
    <row r="54" spans="1:21" s="31" customFormat="1" ht="11.25" customHeight="1" x14ac:dyDescent="0.25">
      <c r="A54" s="36"/>
      <c r="B54" s="83" t="s">
        <v>16</v>
      </c>
      <c r="C54" s="83" t="s">
        <v>136</v>
      </c>
      <c r="D54" s="83">
        <v>38</v>
      </c>
      <c r="E54" s="83">
        <v>212383</v>
      </c>
      <c r="F54" s="83" t="s">
        <v>208</v>
      </c>
      <c r="G54" s="83">
        <v>7</v>
      </c>
      <c r="H54" s="169">
        <v>415</v>
      </c>
      <c r="O54" s="33" t="str">
        <f t="shared" si="0"/>
        <v>N6</v>
      </c>
      <c r="P54" s="17" t="str">
        <f t="shared" si="3"/>
        <v>NI0101A024</v>
      </c>
      <c r="Q54" s="34">
        <f t="shared" si="2"/>
        <v>46</v>
      </c>
      <c r="R54">
        <v>209730</v>
      </c>
      <c r="S54" t="s">
        <v>119</v>
      </c>
      <c r="T54" s="14">
        <v>4</v>
      </c>
      <c r="U54" s="42">
        <v>170</v>
      </c>
    </row>
    <row r="55" spans="1:21" s="31" customFormat="1" ht="11.25" customHeight="1" x14ac:dyDescent="0.25">
      <c r="A55" s="36"/>
      <c r="B55" s="83" t="s">
        <v>16</v>
      </c>
      <c r="C55" s="83" t="s">
        <v>136</v>
      </c>
      <c r="D55" s="83">
        <v>39</v>
      </c>
      <c r="E55" s="83">
        <v>203428</v>
      </c>
      <c r="F55" s="83" t="s">
        <v>79</v>
      </c>
      <c r="G55" s="83">
        <v>10</v>
      </c>
      <c r="H55" s="169">
        <v>350</v>
      </c>
      <c r="O55" s="33" t="str">
        <f t="shared" si="0"/>
        <v>N6</v>
      </c>
      <c r="P55" s="17" t="str">
        <f>+IF(AND(R55&gt;1,R55&lt;&gt;"Total "),"NI0101A024","")</f>
        <v>NI0101A024</v>
      </c>
      <c r="Q55" s="34">
        <f t="shared" si="2"/>
        <v>47</v>
      </c>
      <c r="R55">
        <v>212999</v>
      </c>
      <c r="S55" t="s">
        <v>266</v>
      </c>
      <c r="T55" s="14">
        <v>16</v>
      </c>
      <c r="U55" s="42">
        <v>1390</v>
      </c>
    </row>
    <row r="56" spans="1:21" s="31" customFormat="1" ht="15" x14ac:dyDescent="0.25">
      <c r="A56" s="36"/>
      <c r="B56" s="83" t="s">
        <v>16</v>
      </c>
      <c r="C56" s="83" t="s">
        <v>136</v>
      </c>
      <c r="D56" s="83">
        <v>40</v>
      </c>
      <c r="E56" s="83">
        <v>212998</v>
      </c>
      <c r="F56" s="83" t="s">
        <v>207</v>
      </c>
      <c r="G56" s="83">
        <v>1</v>
      </c>
      <c r="H56" s="169">
        <v>120</v>
      </c>
      <c r="O56" s="33" t="str">
        <f t="shared" si="0"/>
        <v>N6</v>
      </c>
      <c r="P56" s="17" t="str">
        <f>+IF(AND(R56&gt;1,R56&lt;&gt;"Total "),"NI0101A024","")</f>
        <v>NI0101A024</v>
      </c>
      <c r="Q56" s="34">
        <f t="shared" si="2"/>
        <v>48</v>
      </c>
      <c r="R56">
        <v>213007</v>
      </c>
      <c r="S56" t="s">
        <v>267</v>
      </c>
      <c r="T56" s="14">
        <v>2</v>
      </c>
      <c r="U56" s="42">
        <v>185</v>
      </c>
    </row>
    <row r="57" spans="1:21" s="31" customFormat="1" ht="11.25" customHeight="1" x14ac:dyDescent="0.25">
      <c r="A57" s="36"/>
      <c r="B57" s="83" t="s">
        <v>16</v>
      </c>
      <c r="C57" s="83" t="s">
        <v>136</v>
      </c>
      <c r="D57" s="83">
        <v>41</v>
      </c>
      <c r="E57" s="83">
        <v>204136</v>
      </c>
      <c r="F57" s="83" t="s">
        <v>105</v>
      </c>
      <c r="G57" s="83">
        <v>5</v>
      </c>
      <c r="H57" s="169">
        <v>205</v>
      </c>
      <c r="O57" s="33" t="str">
        <f t="shared" si="0"/>
        <v>N6</v>
      </c>
      <c r="P57" s="17" t="str">
        <f>+IF(AND(R57&gt;1,R57&lt;&gt;"Total "),"NI0101A024","")</f>
        <v>NI0101A024</v>
      </c>
      <c r="Q57" s="34">
        <f t="shared" si="2"/>
        <v>49</v>
      </c>
      <c r="R57">
        <v>213380</v>
      </c>
      <c r="S57" t="s">
        <v>275</v>
      </c>
      <c r="T57" s="14">
        <v>10</v>
      </c>
      <c r="U57" s="42">
        <v>350</v>
      </c>
    </row>
    <row r="58" spans="1:21" s="31" customFormat="1" ht="15" x14ac:dyDescent="0.25">
      <c r="A58" s="36"/>
      <c r="B58" s="83" t="s">
        <v>16</v>
      </c>
      <c r="C58" s="83" t="s">
        <v>136</v>
      </c>
      <c r="D58" s="83">
        <v>42</v>
      </c>
      <c r="E58" s="83">
        <v>203609</v>
      </c>
      <c r="F58" s="83" t="s">
        <v>200</v>
      </c>
      <c r="G58" s="83">
        <v>2</v>
      </c>
      <c r="H58" s="169">
        <v>100</v>
      </c>
      <c r="O58" s="33" t="str">
        <f t="shared" si="0"/>
        <v>N6</v>
      </c>
      <c r="P58" s="17" t="str">
        <f t="shared" si="3"/>
        <v>NI0101A024</v>
      </c>
      <c r="Q58" s="34">
        <f t="shared" si="2"/>
        <v>50</v>
      </c>
      <c r="R58">
        <v>213275</v>
      </c>
      <c r="S58" t="s">
        <v>214</v>
      </c>
      <c r="T58" s="14">
        <v>2</v>
      </c>
      <c r="U58" s="42">
        <v>70</v>
      </c>
    </row>
    <row r="59" spans="1:21" s="31" customFormat="1" ht="15" x14ac:dyDescent="0.25">
      <c r="A59" s="36"/>
      <c r="B59" s="83" t="s">
        <v>16</v>
      </c>
      <c r="C59" s="83" t="s">
        <v>136</v>
      </c>
      <c r="D59" s="83">
        <v>43</v>
      </c>
      <c r="E59" s="83">
        <v>213008</v>
      </c>
      <c r="F59" s="83" t="s">
        <v>268</v>
      </c>
      <c r="G59" s="83">
        <v>10</v>
      </c>
      <c r="H59" s="169">
        <v>920</v>
      </c>
      <c r="O59" s="33" t="str">
        <f t="shared" si="0"/>
        <v>N6</v>
      </c>
      <c r="P59" s="17" t="str">
        <f t="shared" si="3"/>
        <v>NI0101A024</v>
      </c>
      <c r="Q59" s="34">
        <f t="shared" si="2"/>
        <v>51</v>
      </c>
      <c r="R59">
        <v>208243</v>
      </c>
      <c r="S59" t="s">
        <v>255</v>
      </c>
      <c r="T59" s="14">
        <v>4</v>
      </c>
      <c r="U59" s="42">
        <v>140</v>
      </c>
    </row>
    <row r="60" spans="1:21" s="31" customFormat="1" ht="11.25" customHeight="1" x14ac:dyDescent="0.25">
      <c r="A60" s="36"/>
      <c r="B60" s="83" t="s">
        <v>16</v>
      </c>
      <c r="C60" s="83" t="s">
        <v>136</v>
      </c>
      <c r="D60" s="83">
        <v>44</v>
      </c>
      <c r="E60" s="83">
        <v>213002</v>
      </c>
      <c r="F60" s="83" t="s">
        <v>205</v>
      </c>
      <c r="G60" s="83">
        <v>12</v>
      </c>
      <c r="H60" s="169">
        <v>1275</v>
      </c>
      <c r="O60" s="33" t="str">
        <f t="shared" si="0"/>
        <v>N6</v>
      </c>
      <c r="P60" s="17" t="str">
        <f t="shared" si="3"/>
        <v>NI0101A024</v>
      </c>
      <c r="Q60" s="34">
        <f t="shared" si="2"/>
        <v>52</v>
      </c>
      <c r="R60">
        <v>204119</v>
      </c>
      <c r="S60" t="s">
        <v>103</v>
      </c>
      <c r="T60" s="14">
        <v>12</v>
      </c>
      <c r="U60" s="42">
        <v>1215</v>
      </c>
    </row>
    <row r="61" spans="1:21" s="31" customFormat="1" ht="11.25" customHeight="1" x14ac:dyDescent="0.25">
      <c r="A61" s="36"/>
      <c r="B61" s="83" t="s">
        <v>16</v>
      </c>
      <c r="C61" s="83" t="s">
        <v>136</v>
      </c>
      <c r="D61" s="83">
        <v>45</v>
      </c>
      <c r="E61" s="83">
        <v>208496</v>
      </c>
      <c r="F61" s="83" t="s">
        <v>201</v>
      </c>
      <c r="G61" s="83">
        <v>3</v>
      </c>
      <c r="H61" s="169">
        <v>135</v>
      </c>
      <c r="O61" s="33" t="str">
        <f t="shared" si="0"/>
        <v>N6</v>
      </c>
      <c r="P61" s="17" t="str">
        <f t="shared" si="3"/>
        <v>NI0101A024</v>
      </c>
      <c r="Q61" s="34">
        <f t="shared" si="2"/>
        <v>53</v>
      </c>
      <c r="R61">
        <v>213288</v>
      </c>
      <c r="S61" t="s">
        <v>209</v>
      </c>
      <c r="T61" s="14">
        <v>6</v>
      </c>
      <c r="U61" s="42">
        <v>635</v>
      </c>
    </row>
    <row r="62" spans="1:21" s="31" customFormat="1" ht="11.25" customHeight="1" x14ac:dyDescent="0.25">
      <c r="A62" s="36"/>
      <c r="B62" s="83" t="s">
        <v>16</v>
      </c>
      <c r="C62" s="83" t="s">
        <v>136</v>
      </c>
      <c r="D62" s="83">
        <v>46</v>
      </c>
      <c r="E62" s="83">
        <v>209730</v>
      </c>
      <c r="F62" s="83" t="s">
        <v>119</v>
      </c>
      <c r="G62" s="83">
        <v>4</v>
      </c>
      <c r="H62" s="169">
        <v>170</v>
      </c>
      <c r="O62" s="33" t="str">
        <f t="shared" si="0"/>
        <v>N6</v>
      </c>
      <c r="P62" s="17" t="str">
        <f t="shared" si="3"/>
        <v>NI0101A024</v>
      </c>
      <c r="Q62" s="34">
        <f t="shared" si="2"/>
        <v>54</v>
      </c>
      <c r="R62">
        <v>213353</v>
      </c>
      <c r="S62" t="s">
        <v>272</v>
      </c>
      <c r="T62" s="14">
        <v>8</v>
      </c>
      <c r="U62" s="42">
        <v>705</v>
      </c>
    </row>
    <row r="63" spans="1:21" s="31" customFormat="1" ht="11.25" customHeight="1" x14ac:dyDescent="0.25">
      <c r="A63" s="36"/>
      <c r="B63" s="83" t="s">
        <v>16</v>
      </c>
      <c r="C63" s="83" t="s">
        <v>136</v>
      </c>
      <c r="D63" s="83">
        <v>47</v>
      </c>
      <c r="E63" s="83">
        <v>212999</v>
      </c>
      <c r="F63" s="83" t="s">
        <v>266</v>
      </c>
      <c r="G63" s="83">
        <v>16</v>
      </c>
      <c r="H63" s="169">
        <v>1390</v>
      </c>
      <c r="O63" s="33" t="str">
        <f t="shared" si="0"/>
        <v>N6</v>
      </c>
      <c r="P63" s="17" t="str">
        <f t="shared" si="3"/>
        <v>NI0101A024</v>
      </c>
      <c r="Q63" s="34">
        <f t="shared" si="2"/>
        <v>55</v>
      </c>
      <c r="R63">
        <v>213289</v>
      </c>
      <c r="S63" t="s">
        <v>210</v>
      </c>
      <c r="T63" s="14">
        <v>1</v>
      </c>
      <c r="U63" s="42">
        <v>65</v>
      </c>
    </row>
    <row r="64" spans="1:21" s="31" customFormat="1" ht="11.25" customHeight="1" x14ac:dyDescent="0.25">
      <c r="A64" s="36"/>
      <c r="B64" s="83" t="s">
        <v>16</v>
      </c>
      <c r="C64" s="83" t="s">
        <v>136</v>
      </c>
      <c r="D64" s="83">
        <v>48</v>
      </c>
      <c r="E64" s="83">
        <v>213007</v>
      </c>
      <c r="F64" s="83" t="s">
        <v>267</v>
      </c>
      <c r="G64" s="83">
        <v>2</v>
      </c>
      <c r="H64" s="169">
        <v>185</v>
      </c>
      <c r="O64" s="33" t="str">
        <f t="shared" si="0"/>
        <v>N6</v>
      </c>
      <c r="P64" s="17" t="str">
        <f t="shared" si="3"/>
        <v>NI0101A024</v>
      </c>
      <c r="Q64" s="34">
        <f t="shared" si="2"/>
        <v>56</v>
      </c>
      <c r="R64">
        <v>208362</v>
      </c>
      <c r="S64" t="s">
        <v>317</v>
      </c>
      <c r="T64" s="14">
        <v>6</v>
      </c>
      <c r="U64" s="42">
        <v>210</v>
      </c>
    </row>
    <row r="65" spans="1:21" s="31" customFormat="1" ht="11.25" customHeight="1" x14ac:dyDescent="0.25">
      <c r="A65" s="36"/>
      <c r="B65" s="83" t="s">
        <v>16</v>
      </c>
      <c r="C65" s="83" t="s">
        <v>136</v>
      </c>
      <c r="D65" s="83">
        <v>49</v>
      </c>
      <c r="E65" s="83">
        <v>213380</v>
      </c>
      <c r="F65" s="83" t="s">
        <v>275</v>
      </c>
      <c r="G65" s="83">
        <v>10</v>
      </c>
      <c r="H65" s="169">
        <v>350</v>
      </c>
      <c r="O65" s="33" t="str">
        <f t="shared" si="0"/>
        <v>N6</v>
      </c>
      <c r="P65" s="17" t="str">
        <f t="shared" si="3"/>
        <v>NI0101A024</v>
      </c>
      <c r="Q65" s="34">
        <f t="shared" si="2"/>
        <v>57</v>
      </c>
      <c r="R65">
        <v>203593</v>
      </c>
      <c r="S65" t="s">
        <v>182</v>
      </c>
      <c r="T65" s="14">
        <v>4</v>
      </c>
      <c r="U65" s="42">
        <v>140</v>
      </c>
    </row>
    <row r="66" spans="1:21" s="31" customFormat="1" ht="11.25" customHeight="1" x14ac:dyDescent="0.25">
      <c r="A66" s="36"/>
      <c r="B66" s="83" t="s">
        <v>16</v>
      </c>
      <c r="C66" s="83" t="s">
        <v>136</v>
      </c>
      <c r="D66" s="83">
        <v>50</v>
      </c>
      <c r="E66" s="83">
        <v>213275</v>
      </c>
      <c r="F66" s="83" t="s">
        <v>214</v>
      </c>
      <c r="G66" s="83">
        <v>2</v>
      </c>
      <c r="H66" s="169">
        <v>70</v>
      </c>
      <c r="O66" s="33" t="str">
        <f t="shared" si="0"/>
        <v>N6</v>
      </c>
      <c r="P66" s="17" t="str">
        <f t="shared" si="3"/>
        <v>NI0101A024</v>
      </c>
      <c r="Q66" s="34">
        <f t="shared" si="2"/>
        <v>58</v>
      </c>
      <c r="R66">
        <v>213423</v>
      </c>
      <c r="S66" t="s">
        <v>319</v>
      </c>
      <c r="T66" s="14">
        <v>2</v>
      </c>
      <c r="U66" s="42">
        <v>70</v>
      </c>
    </row>
    <row r="67" spans="1:21" s="31" customFormat="1" ht="11.25" customHeight="1" x14ac:dyDescent="0.25">
      <c r="A67" s="36"/>
      <c r="B67" s="83" t="s">
        <v>16</v>
      </c>
      <c r="C67" s="83" t="s">
        <v>136</v>
      </c>
      <c r="D67" s="83">
        <v>51</v>
      </c>
      <c r="E67" s="83">
        <v>208243</v>
      </c>
      <c r="F67" s="83" t="s">
        <v>255</v>
      </c>
      <c r="G67" s="83">
        <v>4</v>
      </c>
      <c r="H67" s="169">
        <v>140</v>
      </c>
      <c r="O67" s="33" t="str">
        <f t="shared" si="0"/>
        <v>N6</v>
      </c>
      <c r="P67" s="17" t="str">
        <f t="shared" si="3"/>
        <v>NI0101A024</v>
      </c>
      <c r="Q67" s="34">
        <f t="shared" si="2"/>
        <v>59</v>
      </c>
      <c r="R67">
        <v>203374</v>
      </c>
      <c r="S67" t="s">
        <v>172</v>
      </c>
      <c r="T67" s="14">
        <v>1</v>
      </c>
      <c r="U67" s="42">
        <v>65</v>
      </c>
    </row>
    <row r="68" spans="1:21" s="31" customFormat="1" ht="11.25" customHeight="1" x14ac:dyDescent="0.25">
      <c r="A68" s="36"/>
      <c r="B68" s="83" t="s">
        <v>16</v>
      </c>
      <c r="C68" s="83" t="s">
        <v>136</v>
      </c>
      <c r="D68" s="83">
        <v>52</v>
      </c>
      <c r="E68" s="83">
        <v>204119</v>
      </c>
      <c r="F68" s="83" t="s">
        <v>103</v>
      </c>
      <c r="G68" s="83">
        <v>12</v>
      </c>
      <c r="H68" s="169">
        <v>1215</v>
      </c>
      <c r="O68" s="33" t="str">
        <f t="shared" si="0"/>
        <v>N6</v>
      </c>
      <c r="P68" s="17" t="str">
        <f t="shared" si="3"/>
        <v>NI0101A024</v>
      </c>
      <c r="Q68" s="34">
        <f t="shared" si="2"/>
        <v>60</v>
      </c>
      <c r="R68">
        <v>211622</v>
      </c>
      <c r="S68" t="s">
        <v>132</v>
      </c>
      <c r="T68" s="14">
        <v>3</v>
      </c>
      <c r="U68" s="42">
        <v>165</v>
      </c>
    </row>
    <row r="69" spans="1:21" s="31" customFormat="1" ht="11.25" customHeight="1" x14ac:dyDescent="0.25">
      <c r="A69" s="36"/>
      <c r="B69" s="83" t="s">
        <v>16</v>
      </c>
      <c r="C69" s="83" t="s">
        <v>136</v>
      </c>
      <c r="D69" s="83">
        <v>53</v>
      </c>
      <c r="E69" s="83">
        <v>213288</v>
      </c>
      <c r="F69" s="83" t="s">
        <v>209</v>
      </c>
      <c r="G69" s="83">
        <v>6</v>
      </c>
      <c r="H69" s="169">
        <v>635</v>
      </c>
      <c r="O69" s="33" t="str">
        <f t="shared" si="0"/>
        <v>N6</v>
      </c>
      <c r="P69" s="17" t="str">
        <f t="shared" si="3"/>
        <v>NI0101A024</v>
      </c>
      <c r="Q69" s="34">
        <f t="shared" si="2"/>
        <v>61</v>
      </c>
      <c r="R69">
        <v>211888</v>
      </c>
      <c r="S69" t="s">
        <v>133</v>
      </c>
      <c r="T69" s="14">
        <v>3</v>
      </c>
      <c r="U69" s="42">
        <v>135</v>
      </c>
    </row>
    <row r="70" spans="1:21" s="31" customFormat="1" ht="11.25" customHeight="1" x14ac:dyDescent="0.25">
      <c r="A70" s="36"/>
      <c r="B70" s="83" t="s">
        <v>16</v>
      </c>
      <c r="C70" s="83" t="s">
        <v>136</v>
      </c>
      <c r="D70" s="83">
        <v>54</v>
      </c>
      <c r="E70" s="83">
        <v>213353</v>
      </c>
      <c r="F70" s="83" t="s">
        <v>272</v>
      </c>
      <c r="G70" s="83">
        <v>8</v>
      </c>
      <c r="H70" s="169">
        <v>705</v>
      </c>
      <c r="O70" s="33" t="str">
        <f t="shared" si="0"/>
        <v>N6</v>
      </c>
      <c r="P70" s="17" t="str">
        <f t="shared" si="3"/>
        <v>NI0101A024</v>
      </c>
      <c r="Q70" s="34">
        <f t="shared" si="2"/>
        <v>62</v>
      </c>
      <c r="R70">
        <v>204784</v>
      </c>
      <c r="S70" t="s">
        <v>180</v>
      </c>
      <c r="T70" s="14">
        <v>5</v>
      </c>
      <c r="U70" s="42">
        <v>175</v>
      </c>
    </row>
    <row r="71" spans="1:21" s="34" customFormat="1" ht="11.25" customHeight="1" x14ac:dyDescent="0.25">
      <c r="A71" s="36"/>
      <c r="B71" s="83" t="s">
        <v>16</v>
      </c>
      <c r="C71" s="83" t="s">
        <v>136</v>
      </c>
      <c r="D71" s="83">
        <v>55</v>
      </c>
      <c r="E71" s="83">
        <v>213289</v>
      </c>
      <c r="F71" s="83" t="s">
        <v>210</v>
      </c>
      <c r="G71" s="83">
        <v>1</v>
      </c>
      <c r="H71" s="169">
        <v>65</v>
      </c>
      <c r="O71" s="33" t="str">
        <f t="shared" si="0"/>
        <v>N6</v>
      </c>
      <c r="P71" s="17" t="str">
        <f t="shared" si="3"/>
        <v>NI0101A024</v>
      </c>
      <c r="Q71" s="34">
        <f t="shared" si="2"/>
        <v>63</v>
      </c>
      <c r="R71">
        <v>213030</v>
      </c>
      <c r="S71" t="s">
        <v>185</v>
      </c>
      <c r="T71" s="14">
        <v>1</v>
      </c>
      <c r="U71" s="42">
        <v>35</v>
      </c>
    </row>
    <row r="72" spans="1:21" s="31" customFormat="1" ht="11.25" customHeight="1" x14ac:dyDescent="0.25">
      <c r="A72" s="36"/>
      <c r="B72" s="83" t="s">
        <v>16</v>
      </c>
      <c r="C72" s="83" t="s">
        <v>136</v>
      </c>
      <c r="D72" s="83">
        <v>56</v>
      </c>
      <c r="E72" s="83">
        <v>208362</v>
      </c>
      <c r="F72" s="83" t="s">
        <v>317</v>
      </c>
      <c r="G72" s="83">
        <v>6</v>
      </c>
      <c r="H72" s="169">
        <v>210</v>
      </c>
      <c r="O72" s="33" t="str">
        <f t="shared" si="0"/>
        <v>N6</v>
      </c>
      <c r="P72" s="17" t="str">
        <f t="shared" si="3"/>
        <v>NI0101A024</v>
      </c>
      <c r="Q72" s="34">
        <f t="shared" si="2"/>
        <v>64</v>
      </c>
      <c r="R72">
        <v>201130</v>
      </c>
      <c r="S72" t="s">
        <v>56</v>
      </c>
      <c r="T72" s="14">
        <v>7</v>
      </c>
      <c r="U72" s="42">
        <v>365</v>
      </c>
    </row>
    <row r="73" spans="1:21" s="31" customFormat="1" ht="11.25" customHeight="1" x14ac:dyDescent="0.25">
      <c r="A73" s="36"/>
      <c r="B73" s="83" t="s">
        <v>16</v>
      </c>
      <c r="C73" s="83" t="s">
        <v>136</v>
      </c>
      <c r="D73" s="83">
        <v>57</v>
      </c>
      <c r="E73" s="83">
        <v>203593</v>
      </c>
      <c r="F73" s="83" t="s">
        <v>182</v>
      </c>
      <c r="G73" s="83">
        <v>4</v>
      </c>
      <c r="H73" s="169">
        <v>140</v>
      </c>
      <c r="O73" s="33" t="str">
        <f t="shared" si="0"/>
        <v>N6</v>
      </c>
      <c r="P73" s="17" t="str">
        <f t="shared" si="3"/>
        <v>NI0101A024</v>
      </c>
      <c r="Q73" s="34">
        <f t="shared" si="2"/>
        <v>65</v>
      </c>
      <c r="R73">
        <v>209508</v>
      </c>
      <c r="S73" t="s">
        <v>116</v>
      </c>
      <c r="T73" s="14">
        <v>2</v>
      </c>
      <c r="U73" s="42">
        <v>100</v>
      </c>
    </row>
    <row r="74" spans="1:21" s="31" customFormat="1" ht="11.25" customHeight="1" x14ac:dyDescent="0.25">
      <c r="A74" s="36"/>
      <c r="B74" s="83" t="s">
        <v>16</v>
      </c>
      <c r="C74" s="83" t="s">
        <v>136</v>
      </c>
      <c r="D74" s="83">
        <v>58</v>
      </c>
      <c r="E74" s="83">
        <v>213423</v>
      </c>
      <c r="F74" s="83" t="s">
        <v>319</v>
      </c>
      <c r="G74" s="83">
        <v>2</v>
      </c>
      <c r="H74" s="169">
        <v>70</v>
      </c>
      <c r="O74" s="33" t="str">
        <f t="shared" si="0"/>
        <v>N6</v>
      </c>
      <c r="P74" s="17" t="str">
        <f t="shared" si="3"/>
        <v>NI0101A024</v>
      </c>
      <c r="Q74" s="34">
        <f t="shared" si="2"/>
        <v>66</v>
      </c>
      <c r="R74">
        <v>213021</v>
      </c>
      <c r="S74" t="s">
        <v>194</v>
      </c>
      <c r="T74" s="14">
        <v>2</v>
      </c>
      <c r="U74" s="42">
        <v>70</v>
      </c>
    </row>
    <row r="75" spans="1:21" s="31" customFormat="1" ht="11.25" customHeight="1" x14ac:dyDescent="0.25">
      <c r="A75" s="36"/>
      <c r="B75" s="83" t="s">
        <v>16</v>
      </c>
      <c r="C75" s="83" t="s">
        <v>136</v>
      </c>
      <c r="D75" s="83">
        <v>59</v>
      </c>
      <c r="E75" s="83">
        <v>203374</v>
      </c>
      <c r="F75" s="83" t="s">
        <v>172</v>
      </c>
      <c r="G75" s="83">
        <v>1</v>
      </c>
      <c r="H75" s="169">
        <v>65</v>
      </c>
      <c r="O75" s="33" t="str">
        <f t="shared" ref="O75:O111" si="5">+IF(AND(R75&gt;1,R75&lt;&gt;"Total C$"),"N6","")</f>
        <v>N6</v>
      </c>
      <c r="P75" s="17" t="str">
        <f t="shared" si="3"/>
        <v>NI0101A024</v>
      </c>
      <c r="Q75" s="34">
        <f t="shared" ref="Q75:Q111" si="6">+IF(AND(R75&gt;1,R75&lt;&gt;"Total C$"),Q74+1,"")</f>
        <v>67</v>
      </c>
      <c r="R75">
        <v>213027</v>
      </c>
      <c r="S75" t="s">
        <v>188</v>
      </c>
      <c r="T75" s="14">
        <v>2</v>
      </c>
      <c r="U75" s="42">
        <v>100</v>
      </c>
    </row>
    <row r="76" spans="1:21" s="31" customFormat="1" ht="11.25" customHeight="1" x14ac:dyDescent="0.25">
      <c r="A76" s="36"/>
      <c r="B76" s="83" t="s">
        <v>16</v>
      </c>
      <c r="C76" s="83" t="s">
        <v>136</v>
      </c>
      <c r="D76" s="83">
        <v>60</v>
      </c>
      <c r="E76" s="83">
        <v>211622</v>
      </c>
      <c r="F76" s="83" t="s">
        <v>132</v>
      </c>
      <c r="G76" s="83">
        <v>3</v>
      </c>
      <c r="H76" s="169">
        <v>165</v>
      </c>
      <c r="O76" s="33" t="str">
        <f t="shared" si="5"/>
        <v>N6</v>
      </c>
      <c r="P76" s="17" t="str">
        <f t="shared" si="3"/>
        <v>NI0101A024</v>
      </c>
      <c r="Q76" s="34">
        <f t="shared" si="6"/>
        <v>68</v>
      </c>
      <c r="R76">
        <v>201033</v>
      </c>
      <c r="S76" t="s">
        <v>55</v>
      </c>
      <c r="T76" s="14">
        <v>4</v>
      </c>
      <c r="U76" s="42">
        <v>200</v>
      </c>
    </row>
    <row r="77" spans="1:21" s="31" customFormat="1" ht="11.25" customHeight="1" x14ac:dyDescent="0.25">
      <c r="A77" s="36"/>
      <c r="B77" s="83" t="s">
        <v>16</v>
      </c>
      <c r="C77" s="83" t="s">
        <v>136</v>
      </c>
      <c r="D77" s="83">
        <v>61</v>
      </c>
      <c r="E77" s="83">
        <v>211888</v>
      </c>
      <c r="F77" s="83" t="s">
        <v>133</v>
      </c>
      <c r="G77" s="83">
        <v>3</v>
      </c>
      <c r="H77" s="169">
        <v>135</v>
      </c>
      <c r="O77" s="33" t="str">
        <f t="shared" si="5"/>
        <v>N6</v>
      </c>
      <c r="P77" s="17" t="str">
        <f t="shared" si="3"/>
        <v>NI0101A024</v>
      </c>
      <c r="Q77" s="34">
        <f t="shared" si="6"/>
        <v>69</v>
      </c>
      <c r="R77">
        <v>210727</v>
      </c>
      <c r="S77" t="s">
        <v>123</v>
      </c>
      <c r="T77" s="14">
        <v>4</v>
      </c>
      <c r="U77" s="42">
        <v>170</v>
      </c>
    </row>
    <row r="78" spans="1:21" s="31" customFormat="1" ht="15" x14ac:dyDescent="0.25">
      <c r="A78" s="36"/>
      <c r="B78" s="83" t="s">
        <v>16</v>
      </c>
      <c r="C78" s="83" t="s">
        <v>136</v>
      </c>
      <c r="D78" s="83">
        <v>62</v>
      </c>
      <c r="E78" s="83">
        <v>204784</v>
      </c>
      <c r="F78" s="83" t="s">
        <v>180</v>
      </c>
      <c r="G78" s="83">
        <v>5</v>
      </c>
      <c r="H78" s="169">
        <v>175</v>
      </c>
      <c r="O78" s="33" t="str">
        <f t="shared" si="5"/>
        <v>N6</v>
      </c>
      <c r="P78" s="17" t="str">
        <f t="shared" si="3"/>
        <v>NI0101A024</v>
      </c>
      <c r="Q78" s="34">
        <f t="shared" si="6"/>
        <v>70</v>
      </c>
      <c r="R78">
        <v>213029</v>
      </c>
      <c r="S78" t="s">
        <v>184</v>
      </c>
      <c r="T78" s="14">
        <v>3</v>
      </c>
      <c r="U78" s="42">
        <v>135</v>
      </c>
    </row>
    <row r="79" spans="1:21" s="31" customFormat="1" ht="15" x14ac:dyDescent="0.25">
      <c r="A79" s="36"/>
      <c r="B79" s="83" t="s">
        <v>16</v>
      </c>
      <c r="C79" s="83" t="s">
        <v>136</v>
      </c>
      <c r="D79" s="83">
        <v>63</v>
      </c>
      <c r="E79" s="83">
        <v>213030</v>
      </c>
      <c r="F79" s="83" t="s">
        <v>185</v>
      </c>
      <c r="G79" s="83">
        <v>1</v>
      </c>
      <c r="H79" s="169">
        <v>35</v>
      </c>
      <c r="O79" s="33" t="str">
        <f t="shared" si="5"/>
        <v>N6</v>
      </c>
      <c r="P79" s="17" t="str">
        <f t="shared" si="3"/>
        <v>NI0101A024</v>
      </c>
      <c r="Q79" s="34">
        <f t="shared" si="6"/>
        <v>71</v>
      </c>
      <c r="R79">
        <v>213032</v>
      </c>
      <c r="S79" t="s">
        <v>191</v>
      </c>
      <c r="T79" s="14">
        <v>3</v>
      </c>
      <c r="U79" s="42">
        <v>135</v>
      </c>
    </row>
    <row r="80" spans="1:21" s="31" customFormat="1" ht="11.25" customHeight="1" x14ac:dyDescent="0.25">
      <c r="A80" s="36"/>
      <c r="B80" s="83" t="s">
        <v>16</v>
      </c>
      <c r="C80" s="83" t="s">
        <v>136</v>
      </c>
      <c r="D80" s="83">
        <v>64</v>
      </c>
      <c r="E80" s="83">
        <v>201130</v>
      </c>
      <c r="F80" s="83" t="s">
        <v>56</v>
      </c>
      <c r="G80" s="83">
        <v>7</v>
      </c>
      <c r="H80" s="169">
        <v>365</v>
      </c>
      <c r="O80" s="33" t="str">
        <f t="shared" si="5"/>
        <v>N6</v>
      </c>
      <c r="P80" s="17" t="str">
        <f t="shared" si="3"/>
        <v>NI0101A024</v>
      </c>
      <c r="Q80" s="34">
        <f t="shared" si="6"/>
        <v>72</v>
      </c>
      <c r="R80">
        <v>212223</v>
      </c>
      <c r="S80" t="s">
        <v>154</v>
      </c>
      <c r="T80" s="14">
        <v>3</v>
      </c>
      <c r="U80" s="42">
        <v>165</v>
      </c>
    </row>
    <row r="81" spans="1:21" s="31" customFormat="1" ht="11.25" customHeight="1" x14ac:dyDescent="0.25">
      <c r="A81" s="36"/>
      <c r="B81" s="83" t="s">
        <v>16</v>
      </c>
      <c r="C81" s="83" t="s">
        <v>136</v>
      </c>
      <c r="D81" s="83">
        <v>65</v>
      </c>
      <c r="E81" s="83">
        <v>209508</v>
      </c>
      <c r="F81" s="83" t="s">
        <v>116</v>
      </c>
      <c r="G81" s="83">
        <v>2</v>
      </c>
      <c r="H81" s="169">
        <v>100</v>
      </c>
      <c r="O81" s="33" t="str">
        <f t="shared" si="5"/>
        <v>N6</v>
      </c>
      <c r="P81" s="17" t="str">
        <f t="shared" ref="P81:P85" si="7">+IF(AND(R81&gt;1,R81&lt;&gt;"Total "),"NI0101A024","")</f>
        <v>NI0101A024</v>
      </c>
      <c r="Q81" s="34">
        <f t="shared" si="6"/>
        <v>73</v>
      </c>
      <c r="R81">
        <v>203363</v>
      </c>
      <c r="S81" t="s">
        <v>73</v>
      </c>
      <c r="T81" s="14">
        <v>2</v>
      </c>
      <c r="U81" s="42">
        <v>100</v>
      </c>
    </row>
    <row r="82" spans="1:21" s="31" customFormat="1" ht="15" x14ac:dyDescent="0.25">
      <c r="A82" s="36"/>
      <c r="B82" s="83" t="s">
        <v>16</v>
      </c>
      <c r="C82" s="83" t="s">
        <v>136</v>
      </c>
      <c r="D82" s="83">
        <v>66</v>
      </c>
      <c r="E82" s="83">
        <v>213021</v>
      </c>
      <c r="F82" s="83" t="s">
        <v>194</v>
      </c>
      <c r="G82" s="83">
        <v>2</v>
      </c>
      <c r="H82" s="169">
        <v>70</v>
      </c>
      <c r="O82" s="33" t="str">
        <f t="shared" si="5"/>
        <v>N6</v>
      </c>
      <c r="P82" s="17" t="str">
        <f>+IF(AND(R82&gt;1,R82&lt;&gt;"Total "),"NI0101A024","")</f>
        <v>NI0101A024</v>
      </c>
      <c r="Q82" s="34">
        <f t="shared" si="6"/>
        <v>74</v>
      </c>
      <c r="R82">
        <v>211387</v>
      </c>
      <c r="S82" t="s">
        <v>128</v>
      </c>
      <c r="T82" s="14">
        <v>1</v>
      </c>
      <c r="U82" s="42">
        <v>35</v>
      </c>
    </row>
    <row r="83" spans="1:21" s="31" customFormat="1" ht="15" x14ac:dyDescent="0.25">
      <c r="A83" s="36"/>
      <c r="B83" s="83" t="s">
        <v>16</v>
      </c>
      <c r="C83" s="83" t="s">
        <v>136</v>
      </c>
      <c r="D83" s="83">
        <v>67</v>
      </c>
      <c r="E83" s="83">
        <v>213027</v>
      </c>
      <c r="F83" s="83" t="s">
        <v>188</v>
      </c>
      <c r="G83" s="83">
        <v>2</v>
      </c>
      <c r="H83" s="169">
        <v>100</v>
      </c>
      <c r="O83" s="33" t="str">
        <f t="shared" si="5"/>
        <v>N6</v>
      </c>
      <c r="P83" s="17" t="str">
        <f t="shared" si="7"/>
        <v>NI0101A024</v>
      </c>
      <c r="Q83" s="34">
        <f t="shared" si="6"/>
        <v>75</v>
      </c>
      <c r="R83">
        <v>202098</v>
      </c>
      <c r="S83" t="s">
        <v>190</v>
      </c>
      <c r="T83" s="14">
        <v>1</v>
      </c>
      <c r="U83" s="42">
        <v>65</v>
      </c>
    </row>
    <row r="84" spans="1:21" s="31" customFormat="1" ht="11.25" customHeight="1" x14ac:dyDescent="0.25">
      <c r="A84" s="36"/>
      <c r="B84" s="83" t="s">
        <v>16</v>
      </c>
      <c r="C84" s="83" t="s">
        <v>136</v>
      </c>
      <c r="D84" s="83">
        <v>68</v>
      </c>
      <c r="E84" s="83">
        <v>201033</v>
      </c>
      <c r="F84" s="83" t="s">
        <v>55</v>
      </c>
      <c r="G84" s="83">
        <v>4</v>
      </c>
      <c r="H84" s="169">
        <v>200</v>
      </c>
      <c r="O84" s="33" t="str">
        <f t="shared" si="5"/>
        <v>N6</v>
      </c>
      <c r="P84" s="17" t="str">
        <f t="shared" si="7"/>
        <v>NI0101A024</v>
      </c>
      <c r="Q84" s="34">
        <f t="shared" si="6"/>
        <v>76</v>
      </c>
      <c r="R84">
        <v>212221</v>
      </c>
      <c r="S84" t="s">
        <v>153</v>
      </c>
      <c r="T84" s="14">
        <v>1</v>
      </c>
      <c r="U84" s="42">
        <v>35</v>
      </c>
    </row>
    <row r="85" spans="1:21" s="31" customFormat="1" ht="15" x14ac:dyDescent="0.25">
      <c r="A85" s="36"/>
      <c r="B85" s="83" t="s">
        <v>16</v>
      </c>
      <c r="C85" s="83" t="s">
        <v>136</v>
      </c>
      <c r="D85" s="83">
        <v>69</v>
      </c>
      <c r="E85" s="83">
        <v>210727</v>
      </c>
      <c r="F85" s="83" t="s">
        <v>123</v>
      </c>
      <c r="G85" s="83">
        <v>4</v>
      </c>
      <c r="H85" s="169">
        <v>170</v>
      </c>
      <c r="O85" s="33" t="str">
        <f t="shared" si="5"/>
        <v>N6</v>
      </c>
      <c r="P85" s="17" t="str">
        <f t="shared" si="7"/>
        <v>NI0101A024</v>
      </c>
      <c r="Q85" s="34">
        <f t="shared" si="6"/>
        <v>77</v>
      </c>
      <c r="R85">
        <v>212409</v>
      </c>
      <c r="S85" t="s">
        <v>174</v>
      </c>
      <c r="T85" s="14">
        <v>1</v>
      </c>
      <c r="U85" s="42">
        <v>65</v>
      </c>
    </row>
    <row r="86" spans="1:21" s="31" customFormat="1" ht="15" x14ac:dyDescent="0.25">
      <c r="A86" s="36"/>
      <c r="B86" s="83" t="s">
        <v>16</v>
      </c>
      <c r="C86" s="83" t="s">
        <v>136</v>
      </c>
      <c r="D86" s="83">
        <v>70</v>
      </c>
      <c r="E86" s="83">
        <v>213029</v>
      </c>
      <c r="F86" s="83" t="s">
        <v>184</v>
      </c>
      <c r="G86" s="83">
        <v>3</v>
      </c>
      <c r="H86" s="169">
        <v>135</v>
      </c>
      <c r="O86" s="33" t="str">
        <f t="shared" si="5"/>
        <v>N6</v>
      </c>
      <c r="P86" s="17" t="str">
        <f t="shared" ref="P86:P91" si="8">+IF(AND(R86&gt;1,R86&lt;&gt;"Total "),"NI0101A024","")</f>
        <v>NI0101A024</v>
      </c>
      <c r="Q86" s="34">
        <f t="shared" si="6"/>
        <v>78</v>
      </c>
      <c r="R86">
        <v>213365</v>
      </c>
      <c r="S86" t="s">
        <v>274</v>
      </c>
      <c r="T86" s="14">
        <v>1</v>
      </c>
      <c r="U86" s="42">
        <v>35</v>
      </c>
    </row>
    <row r="87" spans="1:21" s="31" customFormat="1" ht="15" x14ac:dyDescent="0.25">
      <c r="A87" s="36"/>
      <c r="B87" s="83" t="s">
        <v>16</v>
      </c>
      <c r="C87" s="83" t="s">
        <v>136</v>
      </c>
      <c r="D87" s="83">
        <v>71</v>
      </c>
      <c r="E87" s="83">
        <v>213032</v>
      </c>
      <c r="F87" s="83" t="s">
        <v>191</v>
      </c>
      <c r="G87" s="83">
        <v>3</v>
      </c>
      <c r="H87" s="169">
        <v>135</v>
      </c>
      <c r="O87" s="33" t="str">
        <f t="shared" si="5"/>
        <v>N6</v>
      </c>
      <c r="P87" s="17" t="str">
        <f t="shared" si="8"/>
        <v>NI0101A024</v>
      </c>
      <c r="Q87" s="34">
        <f t="shared" si="6"/>
        <v>79</v>
      </c>
      <c r="R87">
        <v>210938</v>
      </c>
      <c r="S87" t="s">
        <v>212</v>
      </c>
      <c r="T87" s="14">
        <v>1</v>
      </c>
      <c r="U87" s="42">
        <v>35</v>
      </c>
    </row>
    <row r="88" spans="1:21" s="31" customFormat="1" ht="15" x14ac:dyDescent="0.25">
      <c r="A88" s="36"/>
      <c r="B88" s="83" t="s">
        <v>16</v>
      </c>
      <c r="C88" s="83" t="s">
        <v>136</v>
      </c>
      <c r="D88" s="83">
        <v>72</v>
      </c>
      <c r="E88" s="83">
        <v>212223</v>
      </c>
      <c r="F88" s="83" t="s">
        <v>154</v>
      </c>
      <c r="G88" s="83">
        <v>3</v>
      </c>
      <c r="H88" s="169">
        <v>165</v>
      </c>
      <c r="O88" s="33" t="str">
        <f t="shared" si="5"/>
        <v>N6</v>
      </c>
      <c r="P88" s="17" t="str">
        <f t="shared" si="8"/>
        <v>NI0101A024</v>
      </c>
      <c r="Q88" s="34">
        <f t="shared" si="6"/>
        <v>80</v>
      </c>
      <c r="R88">
        <v>211341</v>
      </c>
      <c r="S88" t="s">
        <v>127</v>
      </c>
      <c r="T88" s="14">
        <v>1</v>
      </c>
      <c r="U88" s="42">
        <v>65</v>
      </c>
    </row>
    <row r="89" spans="1:21" s="31" customFormat="1" ht="15" x14ac:dyDescent="0.25">
      <c r="A89" s="36"/>
      <c r="B89" s="83" t="s">
        <v>16</v>
      </c>
      <c r="C89" s="83" t="s">
        <v>136</v>
      </c>
      <c r="D89" s="83">
        <v>73</v>
      </c>
      <c r="E89" s="83">
        <v>203363</v>
      </c>
      <c r="F89" s="83" t="s">
        <v>73</v>
      </c>
      <c r="G89" s="83">
        <v>2</v>
      </c>
      <c r="H89" s="169">
        <v>100</v>
      </c>
      <c r="O89" s="33" t="str">
        <f t="shared" si="5"/>
        <v>N6</v>
      </c>
      <c r="P89" s="17" t="str">
        <f t="shared" si="8"/>
        <v>NI0101A024</v>
      </c>
      <c r="Q89" s="34">
        <f t="shared" si="6"/>
        <v>81</v>
      </c>
      <c r="R89">
        <v>202192</v>
      </c>
      <c r="S89" t="s">
        <v>231</v>
      </c>
      <c r="T89" s="14">
        <v>6</v>
      </c>
      <c r="U89" s="42">
        <v>210</v>
      </c>
    </row>
    <row r="90" spans="1:21" s="31" customFormat="1" ht="15" x14ac:dyDescent="0.25">
      <c r="A90" s="36"/>
      <c r="B90" s="83" t="s">
        <v>16</v>
      </c>
      <c r="C90" s="83" t="s">
        <v>136</v>
      </c>
      <c r="D90" s="83">
        <v>74</v>
      </c>
      <c r="E90" s="83">
        <v>211387</v>
      </c>
      <c r="F90" s="83" t="s">
        <v>128</v>
      </c>
      <c r="G90" s="83">
        <v>1</v>
      </c>
      <c r="H90" s="169">
        <v>35</v>
      </c>
      <c r="O90" s="33" t="str">
        <f t="shared" si="5"/>
        <v>N6</v>
      </c>
      <c r="P90" s="17" t="str">
        <f t="shared" si="8"/>
        <v>NI0101A024</v>
      </c>
      <c r="Q90" s="34">
        <f t="shared" si="6"/>
        <v>82</v>
      </c>
      <c r="R90">
        <v>212403</v>
      </c>
      <c r="S90" t="s">
        <v>213</v>
      </c>
      <c r="T90" s="14">
        <v>1</v>
      </c>
      <c r="U90" s="42">
        <v>35</v>
      </c>
    </row>
    <row r="91" spans="1:21" s="31" customFormat="1" ht="15" x14ac:dyDescent="0.25">
      <c r="A91" s="36"/>
      <c r="B91" s="83" t="s">
        <v>16</v>
      </c>
      <c r="C91" s="83" t="s">
        <v>136</v>
      </c>
      <c r="D91" s="83">
        <v>75</v>
      </c>
      <c r="E91" s="83">
        <v>202098</v>
      </c>
      <c r="F91" s="83" t="s">
        <v>190</v>
      </c>
      <c r="G91" s="83">
        <v>1</v>
      </c>
      <c r="H91" s="169">
        <v>65</v>
      </c>
      <c r="O91" s="33" t="str">
        <f t="shared" si="5"/>
        <v/>
      </c>
      <c r="P91" s="17" t="str">
        <f t="shared" si="8"/>
        <v>NI0101A024</v>
      </c>
      <c r="Q91" s="34" t="str">
        <f t="shared" si="6"/>
        <v/>
      </c>
      <c r="R91" s="43" t="s">
        <v>7</v>
      </c>
      <c r="S91" s="43"/>
      <c r="T91" s="35">
        <v>425</v>
      </c>
      <c r="U91" s="44">
        <v>24065</v>
      </c>
    </row>
    <row r="92" spans="1:21" s="37" customFormat="1" ht="15.75" x14ac:dyDescent="0.25">
      <c r="A92" s="46"/>
      <c r="B92" s="83" t="s">
        <v>16</v>
      </c>
      <c r="C92" s="83" t="s">
        <v>136</v>
      </c>
      <c r="D92" s="83">
        <v>76</v>
      </c>
      <c r="E92" s="83">
        <v>212221</v>
      </c>
      <c r="F92" s="83" t="s">
        <v>153</v>
      </c>
      <c r="G92" s="83">
        <v>1</v>
      </c>
      <c r="H92" s="169">
        <v>35</v>
      </c>
      <c r="O92" s="38" t="str">
        <f t="shared" si="5"/>
        <v/>
      </c>
      <c r="P92" s="17" t="str">
        <f t="shared" ref="P92:P106" si="9">+IF(AND(R92&gt;1,R92&lt;&gt;"Total "),"NI0101A022","")</f>
        <v/>
      </c>
      <c r="Q92" s="39" t="str">
        <f t="shared" si="6"/>
        <v/>
      </c>
      <c r="R92"/>
      <c r="S92"/>
      <c r="T92"/>
      <c r="U92"/>
    </row>
    <row r="93" spans="1:21" s="37" customFormat="1" ht="15.75" x14ac:dyDescent="0.25">
      <c r="A93" s="46"/>
      <c r="B93" s="83" t="s">
        <v>16</v>
      </c>
      <c r="C93" s="83" t="s">
        <v>136</v>
      </c>
      <c r="D93" s="83">
        <v>77</v>
      </c>
      <c r="E93" s="83">
        <v>212409</v>
      </c>
      <c r="F93" s="83" t="s">
        <v>174</v>
      </c>
      <c r="G93" s="83">
        <v>1</v>
      </c>
      <c r="H93" s="169">
        <v>65</v>
      </c>
      <c r="O93" s="38" t="str">
        <f t="shared" si="5"/>
        <v/>
      </c>
      <c r="P93" s="17" t="str">
        <f t="shared" si="9"/>
        <v/>
      </c>
      <c r="Q93" s="39" t="str">
        <f t="shared" si="6"/>
        <v/>
      </c>
      <c r="R93"/>
      <c r="S93"/>
      <c r="T93"/>
      <c r="U93"/>
    </row>
    <row r="94" spans="1:21" s="37" customFormat="1" ht="15.75" x14ac:dyDescent="0.25">
      <c r="A94" s="46"/>
      <c r="B94" s="83" t="s">
        <v>16</v>
      </c>
      <c r="C94" s="83" t="s">
        <v>136</v>
      </c>
      <c r="D94" s="83">
        <v>78</v>
      </c>
      <c r="E94" s="83">
        <v>213365</v>
      </c>
      <c r="F94" s="83" t="s">
        <v>274</v>
      </c>
      <c r="G94" s="83">
        <v>1</v>
      </c>
      <c r="H94" s="169">
        <v>35</v>
      </c>
      <c r="O94" s="38" t="str">
        <f t="shared" si="5"/>
        <v/>
      </c>
      <c r="P94" s="17" t="str">
        <f t="shared" si="9"/>
        <v/>
      </c>
      <c r="Q94" s="39" t="str">
        <f t="shared" si="6"/>
        <v/>
      </c>
      <c r="R94"/>
      <c r="S94"/>
      <c r="T94"/>
      <c r="U94"/>
    </row>
    <row r="95" spans="1:21" s="37" customFormat="1" ht="15.75" x14ac:dyDescent="0.25">
      <c r="A95" s="46"/>
      <c r="B95" s="83" t="s">
        <v>16</v>
      </c>
      <c r="C95" s="83" t="s">
        <v>136</v>
      </c>
      <c r="D95" s="83">
        <v>79</v>
      </c>
      <c r="E95" s="83">
        <v>210938</v>
      </c>
      <c r="F95" s="83" t="s">
        <v>212</v>
      </c>
      <c r="G95" s="83">
        <v>1</v>
      </c>
      <c r="H95" s="169">
        <v>35</v>
      </c>
      <c r="O95" s="38" t="str">
        <f t="shared" si="5"/>
        <v/>
      </c>
      <c r="P95" s="17" t="str">
        <f t="shared" si="9"/>
        <v/>
      </c>
      <c r="Q95" s="39" t="str">
        <f t="shared" si="6"/>
        <v/>
      </c>
      <c r="R95"/>
      <c r="S95"/>
      <c r="T95"/>
      <c r="U95"/>
    </row>
    <row r="96" spans="1:21" s="37" customFormat="1" ht="15.75" x14ac:dyDescent="0.25">
      <c r="A96" s="46"/>
      <c r="B96" s="83" t="s">
        <v>16</v>
      </c>
      <c r="C96" s="83" t="s">
        <v>136</v>
      </c>
      <c r="D96" s="83">
        <v>80</v>
      </c>
      <c r="E96" s="83">
        <v>211341</v>
      </c>
      <c r="F96" s="83" t="s">
        <v>127</v>
      </c>
      <c r="G96" s="83">
        <v>1</v>
      </c>
      <c r="H96" s="169">
        <v>65</v>
      </c>
      <c r="O96" s="38" t="str">
        <f t="shared" si="5"/>
        <v/>
      </c>
      <c r="P96" s="17" t="str">
        <f t="shared" si="9"/>
        <v/>
      </c>
      <c r="Q96" s="39" t="str">
        <f t="shared" si="6"/>
        <v/>
      </c>
      <c r="R96"/>
      <c r="S96"/>
      <c r="T96"/>
      <c r="U96"/>
    </row>
    <row r="97" spans="1:21" s="37" customFormat="1" ht="15.75" x14ac:dyDescent="0.25">
      <c r="A97" s="46"/>
      <c r="B97" s="83" t="s">
        <v>16</v>
      </c>
      <c r="C97" s="83" t="s">
        <v>136</v>
      </c>
      <c r="D97" s="83">
        <v>81</v>
      </c>
      <c r="E97" s="83">
        <v>202192</v>
      </c>
      <c r="F97" s="83" t="s">
        <v>231</v>
      </c>
      <c r="G97" s="83">
        <v>6</v>
      </c>
      <c r="H97" s="169">
        <v>210</v>
      </c>
      <c r="O97" s="38" t="str">
        <f t="shared" si="5"/>
        <v/>
      </c>
      <c r="P97" s="17" t="str">
        <f t="shared" si="9"/>
        <v/>
      </c>
      <c r="Q97" s="39" t="str">
        <f t="shared" si="6"/>
        <v/>
      </c>
      <c r="R97"/>
      <c r="S97"/>
      <c r="T97"/>
      <c r="U97"/>
    </row>
    <row r="98" spans="1:21" s="37" customFormat="1" ht="15.75" x14ac:dyDescent="0.25">
      <c r="A98" s="46"/>
      <c r="B98" s="25" t="s">
        <v>16</v>
      </c>
      <c r="C98" s="25" t="s">
        <v>136</v>
      </c>
      <c r="D98" s="25">
        <v>82</v>
      </c>
      <c r="E98" s="25">
        <v>212403</v>
      </c>
      <c r="F98" s="25" t="s">
        <v>213</v>
      </c>
      <c r="G98" s="25">
        <v>1</v>
      </c>
      <c r="H98" s="170">
        <v>35</v>
      </c>
      <c r="O98" s="38" t="str">
        <f t="shared" si="5"/>
        <v/>
      </c>
      <c r="P98" s="17" t="str">
        <f t="shared" si="9"/>
        <v/>
      </c>
      <c r="Q98" s="39" t="str">
        <f t="shared" si="6"/>
        <v/>
      </c>
      <c r="R98"/>
      <c r="S98"/>
      <c r="T98"/>
      <c r="U98"/>
    </row>
    <row r="99" spans="1:21" ht="15" x14ac:dyDescent="0.25">
      <c r="A99" s="26"/>
      <c r="B99" s="41" t="s">
        <v>335</v>
      </c>
      <c r="C99" s="41" t="s">
        <v>136</v>
      </c>
      <c r="D99" s="41" t="s">
        <v>335</v>
      </c>
      <c r="E99" s="130"/>
      <c r="F99" s="41"/>
      <c r="G99" s="45" t="s">
        <v>7</v>
      </c>
      <c r="H99" s="168">
        <v>24065</v>
      </c>
      <c r="O99" s="33" t="str">
        <f t="shared" si="5"/>
        <v/>
      </c>
      <c r="P99" s="17" t="str">
        <f t="shared" si="9"/>
        <v/>
      </c>
      <c r="Q99" s="34" t="str">
        <f t="shared" si="6"/>
        <v/>
      </c>
      <c r="R99"/>
      <c r="S99"/>
      <c r="T99"/>
      <c r="U99"/>
    </row>
    <row r="100" spans="1:21" ht="15" x14ac:dyDescent="0.25">
      <c r="A100" s="26"/>
      <c r="B100" s="12" t="s">
        <v>335</v>
      </c>
      <c r="C100" s="12" t="s">
        <v>335</v>
      </c>
      <c r="D100" s="12" t="s">
        <v>335</v>
      </c>
      <c r="E100" s="12"/>
      <c r="F100" s="12"/>
      <c r="G100" s="12"/>
      <c r="H100" s="12"/>
      <c r="O100" s="33" t="str">
        <f t="shared" si="5"/>
        <v/>
      </c>
      <c r="P100" s="17" t="str">
        <f t="shared" si="9"/>
        <v/>
      </c>
      <c r="Q100" s="34" t="str">
        <f t="shared" si="6"/>
        <v/>
      </c>
      <c r="R100"/>
      <c r="S100"/>
      <c r="T100"/>
      <c r="U100"/>
    </row>
    <row r="101" spans="1:21" ht="15.75" x14ac:dyDescent="0.25">
      <c r="A101" s="26"/>
      <c r="B101" s="12" t="s">
        <v>335</v>
      </c>
      <c r="C101" s="12" t="s">
        <v>335</v>
      </c>
      <c r="D101" s="12" t="s">
        <v>335</v>
      </c>
      <c r="E101" s="12"/>
      <c r="F101" s="12"/>
      <c r="G101" s="12"/>
      <c r="H101" s="12"/>
      <c r="O101" s="38" t="str">
        <f t="shared" si="5"/>
        <v/>
      </c>
      <c r="P101" s="17" t="str">
        <f t="shared" si="9"/>
        <v/>
      </c>
      <c r="Q101" s="34" t="str">
        <f t="shared" si="6"/>
        <v/>
      </c>
      <c r="R101"/>
      <c r="S101"/>
      <c r="T101"/>
      <c r="U101"/>
    </row>
    <row r="102" spans="1:21" ht="15.75" x14ac:dyDescent="0.25">
      <c r="A102" s="26"/>
      <c r="B102" s="12" t="s">
        <v>335</v>
      </c>
      <c r="C102" s="12" t="s">
        <v>335</v>
      </c>
      <c r="D102" s="12" t="s">
        <v>335</v>
      </c>
      <c r="E102" s="12"/>
      <c r="F102" s="12"/>
      <c r="G102" s="12"/>
      <c r="H102" s="12"/>
      <c r="O102" s="38" t="str">
        <f t="shared" si="5"/>
        <v/>
      </c>
      <c r="P102" s="17" t="str">
        <f t="shared" si="9"/>
        <v/>
      </c>
      <c r="Q102" s="34" t="str">
        <f t="shared" si="6"/>
        <v/>
      </c>
      <c r="R102"/>
      <c r="S102"/>
      <c r="T102"/>
      <c r="U102"/>
    </row>
    <row r="103" spans="1:21" ht="15.75" x14ac:dyDescent="0.25">
      <c r="A103" s="26"/>
      <c r="B103" s="15" t="s">
        <v>44</v>
      </c>
      <c r="C103" s="139"/>
      <c r="D103" s="139"/>
      <c r="E103" s="139"/>
      <c r="F103" s="15"/>
      <c r="G103" s="140" t="s">
        <v>45</v>
      </c>
      <c r="H103" s="140"/>
      <c r="O103" s="38" t="str">
        <f t="shared" si="5"/>
        <v/>
      </c>
      <c r="P103" s="17" t="str">
        <f t="shared" si="9"/>
        <v/>
      </c>
      <c r="Q103" s="34" t="str">
        <f t="shared" si="6"/>
        <v/>
      </c>
      <c r="R103"/>
      <c r="S103"/>
      <c r="T103"/>
      <c r="U103"/>
    </row>
    <row r="104" spans="1:21" ht="15.75" x14ac:dyDescent="0.25">
      <c r="A104" s="26"/>
      <c r="B104" s="140" t="s">
        <v>32</v>
      </c>
      <c r="C104" s="140"/>
      <c r="D104" s="140"/>
      <c r="E104" s="139"/>
      <c r="F104" s="139"/>
      <c r="G104" s="140" t="s">
        <v>17</v>
      </c>
      <c r="H104" s="140"/>
      <c r="O104" s="38" t="str">
        <f t="shared" si="5"/>
        <v/>
      </c>
      <c r="P104" s="17" t="str">
        <f t="shared" si="9"/>
        <v/>
      </c>
      <c r="Q104" s="34" t="str">
        <f t="shared" si="6"/>
        <v/>
      </c>
      <c r="R104"/>
      <c r="S104"/>
      <c r="T104"/>
      <c r="U104"/>
    </row>
    <row r="105" spans="1:21" ht="15.75" x14ac:dyDescent="0.25">
      <c r="A105" s="26"/>
      <c r="B105" s="15"/>
      <c r="C105" s="15"/>
      <c r="D105" s="140" t="s">
        <v>29</v>
      </c>
      <c r="E105" s="140"/>
      <c r="F105" s="140"/>
      <c r="G105" s="15"/>
      <c r="H105" s="15"/>
      <c r="O105" s="38" t="str">
        <f t="shared" si="5"/>
        <v/>
      </c>
      <c r="P105" s="17" t="str">
        <f t="shared" si="9"/>
        <v/>
      </c>
      <c r="Q105" s="34" t="str">
        <f t="shared" si="6"/>
        <v/>
      </c>
      <c r="R105"/>
      <c r="S105"/>
      <c r="T105"/>
      <c r="U105"/>
    </row>
    <row r="106" spans="1:21" ht="15.75" x14ac:dyDescent="0.25">
      <c r="A106" s="26"/>
      <c r="B106" s="15"/>
      <c r="C106" s="23"/>
      <c r="D106" s="140" t="s">
        <v>18</v>
      </c>
      <c r="E106" s="140"/>
      <c r="F106" s="140"/>
      <c r="G106" s="15"/>
      <c r="H106" s="15"/>
      <c r="O106" s="38" t="str">
        <f t="shared" si="5"/>
        <v/>
      </c>
      <c r="P106" s="17" t="str">
        <f t="shared" si="9"/>
        <v/>
      </c>
      <c r="Q106" s="34" t="str">
        <f t="shared" si="6"/>
        <v/>
      </c>
      <c r="R106"/>
      <c r="S106"/>
      <c r="T106"/>
      <c r="U106"/>
    </row>
    <row r="107" spans="1:21" ht="15.75" x14ac:dyDescent="0.25">
      <c r="A107" s="26"/>
      <c r="B107" s="15"/>
      <c r="C107" s="23"/>
      <c r="D107" s="139"/>
      <c r="E107" s="15"/>
      <c r="F107" s="15"/>
      <c r="G107" s="15"/>
      <c r="H107" s="15"/>
      <c r="O107" s="38" t="str">
        <f t="shared" si="5"/>
        <v/>
      </c>
      <c r="P107" s="17" t="str">
        <f>+IF(AND(R107&gt;1,R107&lt;&gt;"Total "),"NI0101A024","")</f>
        <v/>
      </c>
      <c r="Q107" s="34" t="str">
        <f t="shared" si="6"/>
        <v/>
      </c>
      <c r="R107"/>
      <c r="S107"/>
      <c r="T107"/>
      <c r="U107"/>
    </row>
    <row r="108" spans="1:21" ht="15.75" x14ac:dyDescent="0.25">
      <c r="A108" s="26"/>
      <c r="B108" s="15"/>
      <c r="C108" s="139"/>
      <c r="D108" s="7"/>
      <c r="E108" s="7"/>
      <c r="F108" s="7"/>
      <c r="G108" s="139"/>
      <c r="H108" s="15"/>
      <c r="O108" s="33" t="str">
        <f t="shared" si="5"/>
        <v/>
      </c>
      <c r="P108" s="17" t="str">
        <f>+IF(AND(R108&gt;1,R108&lt;&gt;"Total "),"NI0101A022","")</f>
        <v/>
      </c>
      <c r="Q108" s="34" t="str">
        <f t="shared" si="6"/>
        <v/>
      </c>
      <c r="R108"/>
      <c r="S108"/>
      <c r="T108"/>
      <c r="U108"/>
    </row>
    <row r="109" spans="1:21" ht="15.75" x14ac:dyDescent="0.25">
      <c r="A109" s="26"/>
      <c r="B109" s="24"/>
      <c r="C109" s="24"/>
      <c r="D109" s="7"/>
      <c r="E109" s="7"/>
      <c r="F109" s="7"/>
      <c r="G109" s="24"/>
      <c r="H109" s="24"/>
      <c r="O109" s="33" t="str">
        <f t="shared" si="5"/>
        <v/>
      </c>
      <c r="P109" s="17" t="str">
        <f>+IF(AND(R109&gt;1,R109&lt;&gt;"Total "),"NI0101A022","")</f>
        <v/>
      </c>
      <c r="Q109" s="34" t="str">
        <f t="shared" si="6"/>
        <v/>
      </c>
      <c r="R109"/>
      <c r="S109"/>
      <c r="T109"/>
      <c r="U109"/>
    </row>
    <row r="110" spans="1:21" ht="15.75" x14ac:dyDescent="0.25">
      <c r="A110" s="26"/>
      <c r="B110" s="12" t="s">
        <v>335</v>
      </c>
      <c r="C110" s="12" t="s">
        <v>335</v>
      </c>
      <c r="D110" s="12" t="s">
        <v>335</v>
      </c>
      <c r="E110" s="12"/>
      <c r="F110" s="12"/>
      <c r="G110" s="12"/>
      <c r="H110" s="12"/>
      <c r="O110" s="38" t="str">
        <f t="shared" si="5"/>
        <v/>
      </c>
      <c r="P110" s="17" t="str">
        <f>+IF(AND(R110&gt;1,R110&lt;&gt;"Total "),"NI0101A022","")</f>
        <v/>
      </c>
      <c r="Q110" s="34" t="str">
        <f t="shared" si="6"/>
        <v/>
      </c>
      <c r="R110"/>
      <c r="S110"/>
      <c r="T110"/>
      <c r="U110"/>
    </row>
    <row r="111" spans="1:21" ht="15.75" x14ac:dyDescent="0.25">
      <c r="A111" s="26"/>
      <c r="B111" s="12" t="s">
        <v>335</v>
      </c>
      <c r="C111" s="12" t="s">
        <v>335</v>
      </c>
      <c r="D111" s="12" t="s">
        <v>335</v>
      </c>
      <c r="E111" s="12"/>
      <c r="F111" s="12"/>
      <c r="G111" s="12"/>
      <c r="H111" s="12"/>
      <c r="O111" s="38" t="str">
        <f t="shared" si="5"/>
        <v/>
      </c>
      <c r="P111" s="17" t="str">
        <f>+IF(AND(R111&gt;1,R111&lt;&gt;"Total "),"NI0101A022","")</f>
        <v/>
      </c>
      <c r="Q111" s="34" t="str">
        <f t="shared" si="6"/>
        <v/>
      </c>
      <c r="R111"/>
      <c r="S111"/>
      <c r="T111"/>
      <c r="U111"/>
    </row>
    <row r="112" spans="1:21" ht="15" x14ac:dyDescent="0.25">
      <c r="A112" s="26"/>
      <c r="B112" s="12" t="s">
        <v>335</v>
      </c>
      <c r="C112" s="12" t="s">
        <v>335</v>
      </c>
      <c r="D112" s="12" t="s">
        <v>335</v>
      </c>
      <c r="E112" s="12"/>
      <c r="F112" s="12"/>
      <c r="G112" s="12"/>
      <c r="H112" s="12"/>
      <c r="R112"/>
      <c r="S112"/>
      <c r="T112"/>
      <c r="U112"/>
    </row>
    <row r="113" spans="1:8" ht="12.75" customHeight="1" x14ac:dyDescent="0.25">
      <c r="A113" s="26"/>
      <c r="B113" s="12" t="s">
        <v>335</v>
      </c>
      <c r="C113" s="12" t="s">
        <v>335</v>
      </c>
      <c r="D113" s="12" t="s">
        <v>335</v>
      </c>
      <c r="E113" s="12"/>
      <c r="F113" s="12"/>
      <c r="G113" s="12"/>
      <c r="H113" s="12"/>
    </row>
    <row r="114" spans="1:8" ht="12.75" customHeight="1" x14ac:dyDescent="0.25">
      <c r="A114" s="26"/>
      <c r="B114" s="12" t="s">
        <v>335</v>
      </c>
      <c r="C114" s="12" t="s">
        <v>335</v>
      </c>
      <c r="D114" s="12" t="s">
        <v>335</v>
      </c>
      <c r="E114" s="12"/>
      <c r="F114" s="12"/>
      <c r="G114" s="12"/>
      <c r="H114" s="12"/>
    </row>
    <row r="115" spans="1:8" ht="12.75" customHeight="1" x14ac:dyDescent="0.25">
      <c r="A115" s="26"/>
      <c r="B115" s="12" t="s">
        <v>335</v>
      </c>
      <c r="C115" s="12" t="s">
        <v>335</v>
      </c>
      <c r="D115" s="12" t="s">
        <v>335</v>
      </c>
      <c r="E115" s="12"/>
      <c r="F115" s="12"/>
      <c r="G115" s="12"/>
      <c r="H115" s="12"/>
    </row>
    <row r="116" spans="1:8" ht="12.75" customHeight="1" x14ac:dyDescent="0.25">
      <c r="A116" s="26"/>
      <c r="B116" s="12" t="s">
        <v>335</v>
      </c>
      <c r="C116" s="12" t="s">
        <v>335</v>
      </c>
      <c r="D116" s="12" t="s">
        <v>335</v>
      </c>
      <c r="E116" s="12"/>
      <c r="F116" s="12"/>
      <c r="G116" s="12"/>
      <c r="H116" s="12"/>
    </row>
    <row r="117" spans="1:8" ht="12.75" customHeight="1" x14ac:dyDescent="0.25">
      <c r="A117" s="26"/>
      <c r="B117" s="12" t="s">
        <v>335</v>
      </c>
      <c r="C117" s="12" t="s">
        <v>335</v>
      </c>
      <c r="D117" s="12" t="s">
        <v>335</v>
      </c>
      <c r="E117" s="12"/>
      <c r="F117" s="12"/>
      <c r="G117" s="12"/>
      <c r="H117" s="12"/>
    </row>
    <row r="118" spans="1:8" ht="12.75" customHeight="1" x14ac:dyDescent="0.25">
      <c r="A118" s="26"/>
      <c r="B118" s="12" t="s">
        <v>335</v>
      </c>
      <c r="C118" s="12" t="s">
        <v>335</v>
      </c>
      <c r="D118" s="12" t="s">
        <v>335</v>
      </c>
      <c r="E118" s="12"/>
      <c r="F118" s="12"/>
      <c r="G118" s="12"/>
      <c r="H118" s="12"/>
    </row>
    <row r="119" spans="1:8" ht="12.75" customHeight="1" x14ac:dyDescent="0.25">
      <c r="A119" s="26"/>
      <c r="B119" s="12" t="s">
        <v>335</v>
      </c>
      <c r="C119" s="12" t="s">
        <v>335</v>
      </c>
      <c r="D119" s="12" t="s">
        <v>335</v>
      </c>
      <c r="E119" s="12"/>
      <c r="F119" s="12"/>
      <c r="G119" s="12"/>
      <c r="H119" s="12"/>
    </row>
    <row r="120" spans="1:8" ht="12.75" customHeight="1" x14ac:dyDescent="0.25">
      <c r="A120" s="26"/>
      <c r="B120" s="12"/>
      <c r="C120" s="12"/>
      <c r="D120" s="12"/>
      <c r="E120" s="12"/>
      <c r="F120" s="12"/>
      <c r="G120" s="12"/>
      <c r="H120" s="12"/>
    </row>
    <row r="121" spans="1:8" ht="12.75" customHeight="1" x14ac:dyDescent="0.25">
      <c r="A121" s="26"/>
      <c r="B121" s="12"/>
      <c r="C121" s="12"/>
      <c r="D121" s="12"/>
      <c r="E121" s="12"/>
      <c r="F121" s="12"/>
      <c r="G121" s="12"/>
      <c r="H121" s="12"/>
    </row>
    <row r="122" spans="1:8" ht="12.75" customHeight="1" x14ac:dyDescent="0.25">
      <c r="A122" s="26"/>
      <c r="B122" s="12"/>
      <c r="C122" s="12"/>
      <c r="D122" s="12"/>
      <c r="E122" s="12"/>
      <c r="F122" s="12"/>
      <c r="G122" s="12"/>
      <c r="H122" s="12"/>
    </row>
    <row r="123" spans="1:8" ht="12.75" customHeight="1" x14ac:dyDescent="0.25">
      <c r="A123" s="26"/>
      <c r="B123" s="12"/>
      <c r="C123" s="12"/>
      <c r="D123" s="12"/>
      <c r="E123" s="12"/>
      <c r="F123" s="12"/>
      <c r="G123" s="12"/>
      <c r="H123" s="12"/>
    </row>
    <row r="124" spans="1:8" ht="12.75" customHeight="1" x14ac:dyDescent="0.25">
      <c r="A124" s="26"/>
      <c r="B124" s="12"/>
      <c r="C124" s="12"/>
      <c r="D124" s="12"/>
      <c r="E124" s="12"/>
      <c r="F124" s="12"/>
      <c r="G124" s="12"/>
      <c r="H124" s="12"/>
    </row>
    <row r="125" spans="1:8" ht="12.75" customHeight="1" x14ac:dyDescent="0.25">
      <c r="A125" s="26"/>
      <c r="B125" s="12"/>
      <c r="C125" s="12"/>
      <c r="D125" s="12"/>
      <c r="E125" s="12"/>
      <c r="F125" s="12"/>
      <c r="G125" s="12"/>
      <c r="H125" s="12"/>
    </row>
    <row r="126" spans="1:8" ht="12.75" customHeight="1" x14ac:dyDescent="0.25">
      <c r="A126" s="26"/>
      <c r="B126" s="12"/>
      <c r="C126" s="12"/>
      <c r="D126" s="12"/>
      <c r="E126" s="12"/>
      <c r="F126" s="12"/>
      <c r="G126" s="12"/>
      <c r="H126" s="12"/>
    </row>
    <row r="127" spans="1:8" ht="12.75" customHeight="1" x14ac:dyDescent="0.25">
      <c r="A127" s="26"/>
      <c r="B127" s="12"/>
      <c r="C127" s="12"/>
      <c r="D127" s="12"/>
      <c r="E127" s="12"/>
      <c r="F127" s="12"/>
      <c r="G127" s="12"/>
      <c r="H127" s="12"/>
    </row>
    <row r="128" spans="1:8" ht="12.75" customHeight="1" x14ac:dyDescent="0.25">
      <c r="A128" s="26"/>
      <c r="B128" s="12"/>
      <c r="C128" s="12"/>
      <c r="D128" s="12"/>
      <c r="E128" s="12"/>
      <c r="F128" s="12"/>
      <c r="G128" s="12"/>
      <c r="H128" s="12"/>
    </row>
    <row r="129" spans="1:8" ht="12.75" customHeight="1" x14ac:dyDescent="0.25">
      <c r="A129" s="26"/>
      <c r="B129" s="12"/>
      <c r="C129" s="12"/>
      <c r="D129" s="12"/>
      <c r="E129" s="12"/>
      <c r="F129" s="12"/>
      <c r="G129" s="12"/>
      <c r="H129" s="12"/>
    </row>
    <row r="130" spans="1:8" ht="12.75" customHeight="1" x14ac:dyDescent="0.25">
      <c r="A130" s="26"/>
      <c r="B130" s="12"/>
      <c r="C130" s="12"/>
      <c r="D130" s="12"/>
      <c r="E130" s="12"/>
      <c r="F130" s="12"/>
      <c r="G130" s="12"/>
      <c r="H130" s="12"/>
    </row>
    <row r="131" spans="1:8" ht="12.75" customHeight="1" x14ac:dyDescent="0.25">
      <c r="A131" s="26"/>
      <c r="B131" s="12"/>
      <c r="C131" s="12"/>
      <c r="D131" s="12"/>
      <c r="E131" s="12"/>
      <c r="F131" s="12"/>
      <c r="G131" s="12"/>
      <c r="H131" s="12"/>
    </row>
    <row r="132" spans="1:8" ht="12.75" customHeight="1" x14ac:dyDescent="0.25">
      <c r="A132" s="26"/>
      <c r="B132" s="12"/>
      <c r="C132" s="12"/>
      <c r="D132" s="12"/>
      <c r="E132" s="12"/>
      <c r="F132" s="12"/>
      <c r="G132" s="12"/>
      <c r="H132" s="12"/>
    </row>
    <row r="133" spans="1:8" ht="12.75" customHeight="1" x14ac:dyDescent="0.25">
      <c r="A133" s="26"/>
      <c r="B133" s="12"/>
      <c r="C133" s="12"/>
      <c r="D133" s="12"/>
      <c r="E133" s="12"/>
      <c r="F133" s="12"/>
      <c r="G133" s="12"/>
      <c r="H133" s="12"/>
    </row>
    <row r="134" spans="1:8" ht="12.75" customHeight="1" x14ac:dyDescent="0.25">
      <c r="A134" s="26"/>
      <c r="B134" s="12"/>
      <c r="C134" s="12"/>
      <c r="D134" s="12"/>
      <c r="E134" s="12"/>
      <c r="F134" s="12"/>
      <c r="G134" s="12"/>
      <c r="H134" s="12"/>
    </row>
    <row r="135" spans="1:8" ht="12.75" customHeight="1" x14ac:dyDescent="0.25">
      <c r="A135" s="26"/>
      <c r="B135" s="12"/>
      <c r="C135" s="12"/>
      <c r="D135" s="12"/>
      <c r="E135" s="12"/>
      <c r="F135" s="12"/>
      <c r="G135" s="12"/>
      <c r="H135" s="12"/>
    </row>
    <row r="136" spans="1:8" ht="12.75" customHeight="1" x14ac:dyDescent="0.25">
      <c r="A136" s="26"/>
      <c r="B136" s="12"/>
      <c r="C136" s="12"/>
      <c r="D136" s="12"/>
      <c r="E136" s="12"/>
      <c r="F136" s="12"/>
      <c r="G136" s="12"/>
      <c r="H136" s="12"/>
    </row>
    <row r="137" spans="1:8" ht="12.75" customHeight="1" x14ac:dyDescent="0.25">
      <c r="A137" s="26"/>
      <c r="B137" s="12"/>
      <c r="C137" s="12"/>
      <c r="D137" s="12"/>
      <c r="E137" s="12"/>
      <c r="F137" s="12"/>
      <c r="G137" s="12"/>
      <c r="H137" s="12"/>
    </row>
    <row r="138" spans="1:8" ht="12.75" customHeight="1" x14ac:dyDescent="0.25">
      <c r="A138" s="26"/>
      <c r="B138" s="12"/>
      <c r="C138" s="12"/>
      <c r="D138" s="12"/>
      <c r="E138" s="12"/>
      <c r="F138" s="12"/>
      <c r="G138" s="12"/>
      <c r="H138" s="12"/>
    </row>
    <row r="139" spans="1:8" ht="12.75" customHeight="1" x14ac:dyDescent="0.25">
      <c r="A139" s="26"/>
      <c r="B139" s="12"/>
      <c r="C139" s="12"/>
      <c r="D139" s="12"/>
      <c r="E139" s="12"/>
      <c r="F139" s="12"/>
      <c r="G139" s="12"/>
      <c r="H139" s="12"/>
    </row>
    <row r="140" spans="1:8" ht="12.75" customHeight="1" x14ac:dyDescent="0.25">
      <c r="A140" s="26"/>
      <c r="B140" s="12"/>
      <c r="C140" s="12"/>
      <c r="D140" s="12"/>
      <c r="E140" s="12"/>
      <c r="F140" s="12"/>
      <c r="G140" s="12"/>
      <c r="H140" s="12"/>
    </row>
    <row r="141" spans="1:8" ht="12.75" customHeight="1" x14ac:dyDescent="0.25">
      <c r="A141" s="26"/>
      <c r="B141" s="12"/>
      <c r="C141" s="12"/>
      <c r="D141" s="12"/>
      <c r="E141" s="12"/>
      <c r="F141" s="12"/>
      <c r="G141" s="12"/>
      <c r="H141" s="12"/>
    </row>
    <row r="142" spans="1:8" ht="12.75" customHeight="1" x14ac:dyDescent="0.25">
      <c r="A142" s="26"/>
      <c r="B142" s="12"/>
      <c r="C142" s="12"/>
      <c r="D142" s="12"/>
      <c r="E142" s="12"/>
      <c r="F142" s="12"/>
      <c r="G142" s="12"/>
      <c r="H142" s="12"/>
    </row>
    <row r="143" spans="1:8" ht="12.75" customHeight="1" x14ac:dyDescent="0.25">
      <c r="A143" s="26"/>
      <c r="B143" s="12"/>
      <c r="C143" s="12"/>
      <c r="D143" s="12"/>
      <c r="E143" s="12"/>
      <c r="F143" s="12"/>
      <c r="G143" s="12"/>
      <c r="H143" s="12"/>
    </row>
    <row r="144" spans="1:8" ht="12.75" customHeight="1" x14ac:dyDescent="0.25">
      <c r="A144" s="26"/>
      <c r="B144" s="12"/>
      <c r="C144" s="12"/>
      <c r="D144" s="12"/>
      <c r="E144" s="12"/>
      <c r="F144" s="12"/>
      <c r="G144" s="12"/>
      <c r="H144" s="12"/>
    </row>
    <row r="145" spans="1:8" ht="12.75" customHeight="1" x14ac:dyDescent="0.25">
      <c r="A145" s="26"/>
      <c r="B145" s="12"/>
      <c r="C145" s="12"/>
      <c r="D145" s="12"/>
      <c r="E145" s="12"/>
      <c r="F145" s="12"/>
      <c r="G145" s="12"/>
      <c r="H145" s="12"/>
    </row>
    <row r="146" spans="1:8" ht="12.75" customHeight="1" x14ac:dyDescent="0.25">
      <c r="A146" s="26"/>
      <c r="B146" s="12"/>
      <c r="C146" s="12"/>
      <c r="D146" s="12"/>
      <c r="E146" s="12"/>
      <c r="F146" s="12"/>
      <c r="G146" s="12"/>
      <c r="H146" s="12"/>
    </row>
    <row r="147" spans="1:8" ht="12.75" customHeight="1" x14ac:dyDescent="0.25">
      <c r="A147" s="26"/>
      <c r="B147" s="12"/>
      <c r="C147" s="12"/>
      <c r="D147" s="12"/>
      <c r="E147" s="12"/>
      <c r="F147" s="12"/>
      <c r="G147" s="12"/>
      <c r="H147" s="12"/>
    </row>
    <row r="148" spans="1:8" ht="12.75" customHeight="1" x14ac:dyDescent="0.25">
      <c r="A148" s="26"/>
      <c r="B148" s="12"/>
      <c r="C148" s="12"/>
      <c r="D148" s="12"/>
      <c r="E148" s="12"/>
      <c r="F148" s="12"/>
      <c r="G148" s="12"/>
      <c r="H148" s="12"/>
    </row>
    <row r="149" spans="1:8" ht="12.75" customHeight="1" x14ac:dyDescent="0.25">
      <c r="A149" s="26"/>
      <c r="B149" s="12"/>
      <c r="C149" s="12"/>
      <c r="D149" s="12"/>
      <c r="E149" s="12"/>
      <c r="F149" s="12"/>
      <c r="G149" s="12"/>
      <c r="H149" s="12"/>
    </row>
    <row r="150" spans="1:8" ht="12.75" customHeight="1" x14ac:dyDescent="0.25">
      <c r="A150" s="26"/>
      <c r="B150" s="12"/>
      <c r="C150" s="12"/>
      <c r="D150" s="12"/>
      <c r="E150" s="12"/>
      <c r="F150" s="12"/>
      <c r="G150" s="12"/>
      <c r="H150" s="12"/>
    </row>
    <row r="151" spans="1:8" ht="12.75" customHeight="1" x14ac:dyDescent="0.25">
      <c r="A151" s="26"/>
      <c r="B151" s="12"/>
      <c r="C151" s="12"/>
      <c r="D151" s="12"/>
      <c r="E151" s="12"/>
      <c r="F151" s="12"/>
      <c r="G151" s="12"/>
      <c r="H151" s="12"/>
    </row>
    <row r="152" spans="1:8" ht="12.75" customHeight="1" x14ac:dyDescent="0.25">
      <c r="A152" s="26"/>
      <c r="B152" s="12"/>
      <c r="C152" s="12"/>
      <c r="D152" s="12"/>
      <c r="E152" s="12"/>
      <c r="F152" s="12"/>
      <c r="G152" s="12"/>
      <c r="H152" s="12"/>
    </row>
    <row r="153" spans="1:8" ht="12.75" customHeight="1" x14ac:dyDescent="0.25">
      <c r="A153" s="26"/>
      <c r="B153" s="12"/>
      <c r="C153" s="12"/>
      <c r="D153" s="12"/>
      <c r="E153" s="12"/>
      <c r="F153" s="12"/>
      <c r="G153" s="12"/>
      <c r="H153" s="12"/>
    </row>
    <row r="154" spans="1:8" ht="12.75" customHeight="1" x14ac:dyDescent="0.25">
      <c r="A154" s="26"/>
      <c r="B154" s="12"/>
      <c r="C154" s="12"/>
      <c r="D154" s="12"/>
      <c r="E154" s="12"/>
      <c r="F154" s="12"/>
      <c r="G154" s="12"/>
      <c r="H154" s="12"/>
    </row>
    <row r="155" spans="1:8" ht="12.75" customHeight="1" x14ac:dyDescent="0.25">
      <c r="A155" s="26"/>
      <c r="B155" s="12"/>
      <c r="C155" s="12"/>
      <c r="D155" s="12"/>
      <c r="E155" s="12"/>
      <c r="F155" s="12"/>
      <c r="G155" s="12"/>
      <c r="H155" s="12"/>
    </row>
    <row r="156" spans="1:8" ht="12.75" customHeight="1" x14ac:dyDescent="0.25">
      <c r="A156" s="26"/>
      <c r="B156" s="12"/>
      <c r="C156" s="12"/>
      <c r="D156" s="12"/>
      <c r="E156" s="12"/>
      <c r="F156" s="12"/>
      <c r="G156" s="12"/>
      <c r="H156" s="12"/>
    </row>
    <row r="157" spans="1:8" ht="12.75" customHeight="1" x14ac:dyDescent="0.25">
      <c r="A157" s="26"/>
      <c r="B157" s="12"/>
      <c r="C157" s="12"/>
      <c r="D157" s="12"/>
      <c r="E157" s="12"/>
      <c r="F157" s="12"/>
      <c r="G157" s="12"/>
      <c r="H157" s="12"/>
    </row>
    <row r="158" spans="1:8" ht="12.75" customHeight="1" x14ac:dyDescent="0.25">
      <c r="A158" s="26"/>
      <c r="B158" s="12"/>
      <c r="C158" s="12"/>
      <c r="D158" s="12"/>
      <c r="E158" s="12"/>
      <c r="F158" s="12"/>
      <c r="G158" s="12"/>
      <c r="H158" s="12"/>
    </row>
    <row r="159" spans="1:8" ht="12.75" customHeight="1" x14ac:dyDescent="0.25">
      <c r="A159" s="26"/>
      <c r="B159" s="12"/>
      <c r="C159" s="12"/>
      <c r="D159" s="12"/>
      <c r="E159" s="12"/>
      <c r="F159" s="12"/>
      <c r="G159" s="12"/>
      <c r="H159" s="12"/>
    </row>
    <row r="160" spans="1:8" ht="12.75" customHeight="1" x14ac:dyDescent="0.25">
      <c r="A160" s="26"/>
      <c r="B160" s="12"/>
      <c r="C160" s="12"/>
      <c r="D160" s="12"/>
      <c r="E160" s="12"/>
      <c r="F160" s="12"/>
      <c r="G160" s="12"/>
      <c r="H160" s="12"/>
    </row>
    <row r="161" spans="1:8" ht="12.75" customHeight="1" x14ac:dyDescent="0.25">
      <c r="A161" s="26"/>
      <c r="B161" s="12"/>
      <c r="C161" s="12"/>
      <c r="D161" s="12"/>
      <c r="E161" s="12"/>
      <c r="F161" s="12"/>
      <c r="G161" s="12"/>
      <c r="H161" s="12"/>
    </row>
    <row r="162" spans="1:8" ht="12.75" customHeight="1" x14ac:dyDescent="0.25">
      <c r="A162" s="26"/>
      <c r="B162" s="12"/>
      <c r="C162" s="12"/>
      <c r="D162" s="12"/>
      <c r="E162" s="12"/>
      <c r="F162" s="12"/>
      <c r="G162" s="12"/>
      <c r="H162" s="12"/>
    </row>
    <row r="163" spans="1:8" ht="12.75" customHeight="1" x14ac:dyDescent="0.25">
      <c r="A163" s="26"/>
      <c r="B163" s="12"/>
      <c r="C163" s="12"/>
      <c r="D163" s="12"/>
      <c r="E163" s="12"/>
      <c r="F163" s="12"/>
      <c r="G163" s="12"/>
      <c r="H163" s="12"/>
    </row>
    <row r="164" spans="1:8" ht="12.75" customHeight="1" x14ac:dyDescent="0.25">
      <c r="A164" s="26"/>
      <c r="B164" s="12"/>
      <c r="C164" s="12"/>
      <c r="D164" s="12"/>
      <c r="E164" s="12"/>
      <c r="F164" s="12"/>
      <c r="G164" s="12"/>
      <c r="H164" s="12"/>
    </row>
    <row r="165" spans="1:8" ht="12.75" customHeight="1" x14ac:dyDescent="0.25">
      <c r="A165" s="26"/>
      <c r="B165" s="12"/>
      <c r="C165" s="12"/>
      <c r="D165" s="12"/>
      <c r="E165" s="12"/>
      <c r="F165" s="12"/>
      <c r="G165" s="12"/>
      <c r="H165" s="12"/>
    </row>
    <row r="166" spans="1:8" ht="12.75" customHeight="1" x14ac:dyDescent="0.25">
      <c r="A166" s="26"/>
      <c r="B166" s="12"/>
      <c r="C166" s="12"/>
      <c r="D166" s="12"/>
      <c r="E166" s="12"/>
      <c r="F166" s="12"/>
      <c r="G166" s="12"/>
      <c r="H166" s="12"/>
    </row>
    <row r="167" spans="1:8" ht="12.75" customHeight="1" x14ac:dyDescent="0.25">
      <c r="A167" s="26"/>
      <c r="B167" s="12"/>
      <c r="C167" s="12"/>
      <c r="D167" s="12"/>
      <c r="E167" s="12"/>
      <c r="F167" s="12"/>
      <c r="G167" s="12"/>
      <c r="H167" s="12"/>
    </row>
    <row r="168" spans="1:8" ht="12.75" customHeight="1" x14ac:dyDescent="0.25">
      <c r="A168" s="26"/>
      <c r="B168" s="12"/>
      <c r="C168" s="12"/>
      <c r="D168" s="12"/>
      <c r="E168" s="12"/>
      <c r="F168" s="12"/>
      <c r="G168" s="12"/>
      <c r="H168" s="12"/>
    </row>
    <row r="169" spans="1:8" ht="12.75" customHeight="1" x14ac:dyDescent="0.25">
      <c r="A169" s="26"/>
      <c r="B169" s="12"/>
      <c r="C169" s="12"/>
      <c r="D169" s="12"/>
      <c r="E169" s="12"/>
      <c r="F169" s="12"/>
      <c r="G169" s="12"/>
      <c r="H169" s="12"/>
    </row>
    <row r="170" spans="1:8" ht="12.75" customHeight="1" x14ac:dyDescent="0.25">
      <c r="A170" s="26"/>
      <c r="B170" s="12"/>
      <c r="C170" s="12"/>
      <c r="D170" s="12"/>
      <c r="E170" s="12"/>
      <c r="F170" s="12"/>
      <c r="G170" s="12"/>
      <c r="H170" s="12"/>
    </row>
    <row r="171" spans="1:8" ht="12.75" customHeight="1" x14ac:dyDescent="0.25">
      <c r="A171" s="26"/>
      <c r="B171" s="12"/>
      <c r="C171" s="12"/>
      <c r="D171" s="12"/>
      <c r="E171" s="12"/>
      <c r="F171" s="12"/>
      <c r="G171" s="12"/>
      <c r="H171" s="12"/>
    </row>
    <row r="172" spans="1:8" ht="12.75" customHeight="1" x14ac:dyDescent="0.25">
      <c r="A172" s="26"/>
      <c r="B172" s="12"/>
      <c r="C172" s="12"/>
      <c r="D172" s="12"/>
      <c r="E172" s="12"/>
      <c r="F172" s="12"/>
      <c r="G172" s="12"/>
      <c r="H172" s="12"/>
    </row>
    <row r="173" spans="1:8" ht="12.75" customHeight="1" x14ac:dyDescent="0.25">
      <c r="A173" s="26"/>
      <c r="B173" s="12"/>
      <c r="C173" s="12"/>
      <c r="D173" s="12"/>
      <c r="E173" s="12"/>
      <c r="F173" s="12"/>
      <c r="G173" s="12"/>
      <c r="H173" s="12"/>
    </row>
    <row r="174" spans="1:8" ht="12.75" customHeight="1" x14ac:dyDescent="0.25">
      <c r="A174" s="26"/>
      <c r="B174" s="12"/>
      <c r="C174" s="12"/>
      <c r="D174" s="12"/>
      <c r="E174" s="12"/>
      <c r="F174" s="12"/>
      <c r="G174" s="12"/>
      <c r="H174" s="12"/>
    </row>
    <row r="175" spans="1:8" ht="12.75" customHeight="1" x14ac:dyDescent="0.25">
      <c r="A175" s="26"/>
      <c r="B175" s="12"/>
      <c r="C175" s="12"/>
      <c r="D175" s="12"/>
      <c r="E175" s="12"/>
      <c r="F175" s="12"/>
      <c r="G175" s="12"/>
      <c r="H175" s="12"/>
    </row>
    <row r="176" spans="1:8" ht="12.75" customHeight="1" x14ac:dyDescent="0.25">
      <c r="A176" s="26"/>
      <c r="B176" s="12"/>
      <c r="C176" s="12"/>
      <c r="D176" s="12"/>
      <c r="E176" s="12"/>
      <c r="F176" s="12"/>
      <c r="G176" s="12"/>
      <c r="H176" s="12"/>
    </row>
    <row r="177" spans="1:8" ht="12.75" customHeight="1" x14ac:dyDescent="0.25">
      <c r="A177" s="26"/>
      <c r="B177" s="12"/>
      <c r="C177" s="12"/>
      <c r="D177" s="12"/>
      <c r="E177" s="12"/>
      <c r="F177" s="12"/>
      <c r="G177" s="12"/>
      <c r="H177" s="12"/>
    </row>
    <row r="178" spans="1:8" ht="12.75" customHeight="1" x14ac:dyDescent="0.25">
      <c r="A178" s="26"/>
      <c r="B178" s="12"/>
      <c r="C178" s="12"/>
      <c r="D178" s="12"/>
      <c r="E178" s="12"/>
      <c r="F178" s="12"/>
      <c r="G178" s="12"/>
      <c r="H178" s="12"/>
    </row>
    <row r="179" spans="1:8" ht="12.75" customHeight="1" x14ac:dyDescent="0.25">
      <c r="A179" s="26"/>
      <c r="B179" s="12"/>
      <c r="C179" s="12"/>
      <c r="D179" s="12"/>
      <c r="E179" s="12"/>
      <c r="F179" s="12"/>
      <c r="G179" s="12"/>
      <c r="H179" s="12"/>
    </row>
    <row r="180" spans="1:8" ht="12.75" customHeight="1" x14ac:dyDescent="0.25">
      <c r="A180" s="26"/>
      <c r="B180" s="12"/>
      <c r="C180" s="12"/>
      <c r="D180" s="12"/>
      <c r="E180" s="12"/>
      <c r="F180" s="12"/>
      <c r="G180" s="12"/>
      <c r="H180" s="12"/>
    </row>
    <row r="181" spans="1:8" ht="12.75" customHeight="1" x14ac:dyDescent="0.25">
      <c r="A181" s="26"/>
      <c r="B181" s="12"/>
      <c r="C181" s="12"/>
      <c r="D181" s="12"/>
      <c r="E181" s="12"/>
      <c r="F181" s="12"/>
      <c r="G181" s="12"/>
      <c r="H181" s="12"/>
    </row>
    <row r="182" spans="1:8" ht="12.75" customHeight="1" x14ac:dyDescent="0.25">
      <c r="A182" s="26"/>
      <c r="B182" s="12"/>
      <c r="C182" s="12"/>
      <c r="D182" s="12"/>
      <c r="E182" s="12"/>
      <c r="F182" s="12"/>
      <c r="G182" s="12"/>
      <c r="H182" s="12"/>
    </row>
    <row r="183" spans="1:8" ht="12.75" customHeight="1" x14ac:dyDescent="0.25">
      <c r="A183" s="26"/>
      <c r="B183" s="12"/>
      <c r="C183" s="12"/>
      <c r="D183" s="12"/>
      <c r="E183" s="12"/>
      <c r="F183" s="12"/>
      <c r="G183" s="12"/>
      <c r="H183" s="12"/>
    </row>
    <row r="184" spans="1:8" ht="12.75" customHeight="1" x14ac:dyDescent="0.25">
      <c r="A184" s="26"/>
      <c r="B184" s="12"/>
      <c r="C184" s="12"/>
      <c r="D184" s="12"/>
      <c r="E184" s="12"/>
      <c r="F184" s="12"/>
      <c r="G184" s="12"/>
      <c r="H184" s="12"/>
    </row>
    <row r="185" spans="1:8" ht="12.75" customHeight="1" x14ac:dyDescent="0.25">
      <c r="A185" s="26"/>
      <c r="B185" s="12"/>
      <c r="C185" s="12"/>
      <c r="D185" s="12"/>
      <c r="E185" s="12"/>
      <c r="F185" s="12"/>
      <c r="G185" s="12"/>
      <c r="H185" s="12"/>
    </row>
    <row r="186" spans="1:8" ht="12.75" customHeight="1" x14ac:dyDescent="0.25">
      <c r="A186" s="26"/>
      <c r="B186" s="12"/>
      <c r="C186" s="12"/>
      <c r="D186" s="12"/>
      <c r="E186" s="12"/>
      <c r="F186" s="12"/>
      <c r="G186" s="12"/>
      <c r="H186" s="12"/>
    </row>
    <row r="187" spans="1:8" ht="12.75" customHeight="1" x14ac:dyDescent="0.25">
      <c r="A187" s="26"/>
      <c r="B187" s="12"/>
      <c r="C187" s="12"/>
      <c r="D187" s="12"/>
      <c r="E187" s="12"/>
      <c r="F187" s="12"/>
      <c r="G187" s="12"/>
      <c r="H187" s="12"/>
    </row>
    <row r="188" spans="1:8" ht="12.75" customHeight="1" x14ac:dyDescent="0.25">
      <c r="A188" s="26"/>
      <c r="B188" s="12"/>
      <c r="C188" s="12"/>
      <c r="D188" s="12"/>
      <c r="E188" s="12"/>
      <c r="F188" s="12"/>
      <c r="G188" s="12"/>
      <c r="H188" s="12"/>
    </row>
    <row r="189" spans="1:8" ht="12.75" customHeight="1" x14ac:dyDescent="0.25">
      <c r="A189" s="26"/>
      <c r="B189" s="12"/>
      <c r="C189" s="12"/>
      <c r="D189" s="12"/>
      <c r="E189" s="12"/>
      <c r="F189" s="12"/>
      <c r="G189" s="12"/>
      <c r="H189" s="12"/>
    </row>
    <row r="190" spans="1:8" ht="12.75" customHeight="1" x14ac:dyDescent="0.25">
      <c r="A190" s="26"/>
      <c r="B190" s="12"/>
      <c r="C190" s="12"/>
      <c r="D190" s="12"/>
      <c r="E190" s="12"/>
      <c r="F190" s="12"/>
      <c r="G190" s="12"/>
      <c r="H190" s="12"/>
    </row>
    <row r="191" spans="1:8" ht="12.75" customHeight="1" x14ac:dyDescent="0.25">
      <c r="A191" s="26"/>
      <c r="B191" s="12"/>
      <c r="C191" s="12"/>
      <c r="D191" s="12"/>
      <c r="E191" s="12"/>
      <c r="F191" s="12"/>
      <c r="G191" s="12"/>
      <c r="H191" s="12"/>
    </row>
    <row r="192" spans="1:8" ht="12.75" customHeight="1" x14ac:dyDescent="0.25">
      <c r="A192" s="26"/>
      <c r="B192" s="12"/>
      <c r="C192" s="12"/>
      <c r="D192" s="12"/>
      <c r="E192" s="12"/>
      <c r="F192" s="12"/>
      <c r="G192" s="12"/>
      <c r="H192" s="12"/>
    </row>
    <row r="193" spans="1:8" ht="12.75" customHeight="1" x14ac:dyDescent="0.25">
      <c r="A193" s="26"/>
      <c r="B193" s="12"/>
      <c r="C193" s="12"/>
      <c r="D193" s="12"/>
      <c r="E193" s="12"/>
      <c r="F193" s="12"/>
      <c r="G193" s="12"/>
      <c r="H193" s="12"/>
    </row>
    <row r="194" spans="1:8" ht="12.75" customHeight="1" x14ac:dyDescent="0.25">
      <c r="A194" s="26"/>
      <c r="B194" s="12"/>
      <c r="C194" s="12"/>
      <c r="D194" s="12"/>
      <c r="E194" s="12"/>
      <c r="F194" s="12"/>
      <c r="G194" s="12"/>
      <c r="H194" s="12"/>
    </row>
    <row r="195" spans="1:8" ht="12.75" customHeight="1" x14ac:dyDescent="0.25">
      <c r="A195" s="26"/>
      <c r="B195" s="12"/>
      <c r="C195" s="12"/>
      <c r="D195" s="12"/>
      <c r="E195" s="12"/>
      <c r="F195" s="12"/>
      <c r="G195" s="12"/>
      <c r="H195" s="12"/>
    </row>
    <row r="196" spans="1:8" ht="12.75" customHeight="1" x14ac:dyDescent="0.25">
      <c r="A196" s="26"/>
      <c r="B196" s="12"/>
      <c r="C196" s="12"/>
      <c r="D196" s="12"/>
      <c r="E196" s="12"/>
      <c r="F196" s="12"/>
      <c r="G196" s="12"/>
      <c r="H196" s="12"/>
    </row>
    <row r="197" spans="1:8" ht="12.75" customHeight="1" x14ac:dyDescent="0.25">
      <c r="A197" s="26"/>
      <c r="B197" s="12"/>
      <c r="C197" s="12"/>
      <c r="D197" s="12"/>
      <c r="E197" s="12"/>
      <c r="F197" s="12"/>
      <c r="G197" s="12"/>
      <c r="H197" s="12"/>
    </row>
    <row r="198" spans="1:8" ht="12.75" customHeight="1" x14ac:dyDescent="0.25">
      <c r="A198" s="26"/>
      <c r="B198" s="12"/>
      <c r="C198" s="12"/>
      <c r="D198" s="12"/>
      <c r="E198" s="12"/>
      <c r="F198" s="12"/>
      <c r="G198" s="12"/>
      <c r="H198" s="12"/>
    </row>
    <row r="199" spans="1:8" ht="12.75" customHeight="1" x14ac:dyDescent="0.25">
      <c r="A199" s="26"/>
      <c r="B199" s="12"/>
      <c r="C199" s="12"/>
      <c r="D199" s="12"/>
      <c r="E199" s="12"/>
      <c r="F199" s="12"/>
      <c r="G199" s="12"/>
      <c r="H199" s="12"/>
    </row>
    <row r="200" spans="1:8" ht="12.75" customHeight="1" x14ac:dyDescent="0.25">
      <c r="A200" s="26"/>
      <c r="B200" s="12"/>
      <c r="C200" s="12"/>
      <c r="D200" s="12"/>
      <c r="E200" s="12"/>
      <c r="F200" s="12"/>
      <c r="G200" s="12"/>
      <c r="H200" s="12"/>
    </row>
  </sheetData>
  <mergeCells count="12">
    <mergeCell ref="A13:I13"/>
    <mergeCell ref="A14:I14"/>
    <mergeCell ref="W1:X1"/>
    <mergeCell ref="T4:V4"/>
    <mergeCell ref="R2:T2"/>
    <mergeCell ref="W2:X2"/>
    <mergeCell ref="T3:V3"/>
    <mergeCell ref="G103:H103"/>
    <mergeCell ref="B104:D104"/>
    <mergeCell ref="G104:H104"/>
    <mergeCell ref="D105:F105"/>
    <mergeCell ref="D106:F106"/>
  </mergeCells>
  <pageMargins left="0.55000000000000004" right="0.23622047244094488" top="0.74803149606299213" bottom="0.15748031496062992" header="0.31496062992125984" footer="0.15748031496062992"/>
  <pageSetup scale="77" fitToHeight="0" orientation="portrait" r:id="rId2"/>
  <ignoredErrors>
    <ignoredError sqref="P27 P47 P107 P29 P31" formula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7030A0"/>
    <pageSetUpPr fitToPage="1"/>
  </sheetPr>
  <dimension ref="A1:AX157"/>
  <sheetViews>
    <sheetView showGridLines="0" tabSelected="1" topLeftCell="A93" zoomScaleNormal="100" workbookViewId="0">
      <selection activeCell="B10" sqref="B10:H93"/>
    </sheetView>
  </sheetViews>
  <sheetFormatPr baseColWidth="10" defaultColWidth="9.140625" defaultRowHeight="12.75" x14ac:dyDescent="0.2"/>
  <cols>
    <col min="1" max="1" width="9.85546875" style="10" customWidth="1"/>
    <col min="2" max="2" width="11.7109375" style="103" customWidth="1"/>
    <col min="3" max="3" width="39.42578125" style="10" bestFit="1" customWidth="1"/>
    <col min="4" max="4" width="32" style="10" bestFit="1" customWidth="1"/>
    <col min="5" max="5" width="12.140625" style="10" customWidth="1"/>
    <col min="6" max="6" width="14.7109375" style="10" customWidth="1"/>
    <col min="7" max="7" width="13.7109375" style="10" customWidth="1"/>
    <col min="8" max="8" width="18.42578125" style="10" customWidth="1"/>
    <col min="9" max="14" width="9.140625" style="10"/>
    <col min="15" max="15" width="12.5703125" style="10" bestFit="1" customWidth="1"/>
    <col min="16" max="16" width="42" style="10" bestFit="1" customWidth="1"/>
    <col min="17" max="17" width="32" style="10" bestFit="1" customWidth="1"/>
    <col min="18" max="18" width="4.7109375" style="10" bestFit="1" customWidth="1"/>
    <col min="19" max="19" width="12.85546875" style="10" bestFit="1" customWidth="1"/>
    <col min="20" max="20" width="11.5703125" style="10" bestFit="1" customWidth="1"/>
    <col min="21" max="24" width="6" style="10" bestFit="1" customWidth="1"/>
    <col min="25" max="25" width="11.5703125" style="10" bestFit="1" customWidth="1"/>
    <col min="26" max="26" width="6" style="10" bestFit="1" customWidth="1"/>
    <col min="27" max="256" width="9.140625" style="10"/>
    <col min="257" max="257" width="9.7109375" style="10" customWidth="1"/>
    <col min="258" max="258" width="4.42578125" style="10" bestFit="1" customWidth="1"/>
    <col min="259" max="259" width="10.7109375" style="10" bestFit="1" customWidth="1"/>
    <col min="260" max="260" width="23.85546875" style="10" customWidth="1"/>
    <col min="261" max="261" width="46.140625" style="10" customWidth="1"/>
    <col min="262" max="262" width="6.140625" style="10" bestFit="1" customWidth="1"/>
    <col min="263" max="263" width="8.85546875" style="10" bestFit="1" customWidth="1"/>
    <col min="264" max="264" width="18.5703125" style="10" customWidth="1"/>
    <col min="265" max="512" width="9.140625" style="10"/>
    <col min="513" max="513" width="9.7109375" style="10" customWidth="1"/>
    <col min="514" max="514" width="4.42578125" style="10" bestFit="1" customWidth="1"/>
    <col min="515" max="515" width="10.7109375" style="10" bestFit="1" customWidth="1"/>
    <col min="516" max="516" width="23.85546875" style="10" customWidth="1"/>
    <col min="517" max="517" width="46.140625" style="10" customWidth="1"/>
    <col min="518" max="518" width="6.140625" style="10" bestFit="1" customWidth="1"/>
    <col min="519" max="519" width="8.85546875" style="10" bestFit="1" customWidth="1"/>
    <col min="520" max="520" width="18.5703125" style="10" customWidth="1"/>
    <col min="521" max="768" width="9.140625" style="10"/>
    <col min="769" max="769" width="9.7109375" style="10" customWidth="1"/>
    <col min="770" max="770" width="4.42578125" style="10" bestFit="1" customWidth="1"/>
    <col min="771" max="771" width="10.7109375" style="10" bestFit="1" customWidth="1"/>
    <col min="772" max="772" width="23.85546875" style="10" customWidth="1"/>
    <col min="773" max="773" width="46.140625" style="10" customWidth="1"/>
    <col min="774" max="774" width="6.140625" style="10" bestFit="1" customWidth="1"/>
    <col min="775" max="775" width="8.85546875" style="10" bestFit="1" customWidth="1"/>
    <col min="776" max="776" width="18.5703125" style="10" customWidth="1"/>
    <col min="777" max="1024" width="9.140625" style="10"/>
    <col min="1025" max="1025" width="9.7109375" style="10" customWidth="1"/>
    <col min="1026" max="1026" width="4.42578125" style="10" bestFit="1" customWidth="1"/>
    <col min="1027" max="1027" width="10.7109375" style="10" bestFit="1" customWidth="1"/>
    <col min="1028" max="1028" width="23.85546875" style="10" customWidth="1"/>
    <col min="1029" max="1029" width="46.140625" style="10" customWidth="1"/>
    <col min="1030" max="1030" width="6.140625" style="10" bestFit="1" customWidth="1"/>
    <col min="1031" max="1031" width="8.85546875" style="10" bestFit="1" customWidth="1"/>
    <col min="1032" max="1032" width="18.5703125" style="10" customWidth="1"/>
    <col min="1033" max="1280" width="9.140625" style="10"/>
    <col min="1281" max="1281" width="9.7109375" style="10" customWidth="1"/>
    <col min="1282" max="1282" width="4.42578125" style="10" bestFit="1" customWidth="1"/>
    <col min="1283" max="1283" width="10.7109375" style="10" bestFit="1" customWidth="1"/>
    <col min="1284" max="1284" width="23.85546875" style="10" customWidth="1"/>
    <col min="1285" max="1285" width="46.140625" style="10" customWidth="1"/>
    <col min="1286" max="1286" width="6.140625" style="10" bestFit="1" customWidth="1"/>
    <col min="1287" max="1287" width="8.85546875" style="10" bestFit="1" customWidth="1"/>
    <col min="1288" max="1288" width="18.5703125" style="10" customWidth="1"/>
    <col min="1289" max="1536" width="9.140625" style="10"/>
    <col min="1537" max="1537" width="9.7109375" style="10" customWidth="1"/>
    <col min="1538" max="1538" width="4.42578125" style="10" bestFit="1" customWidth="1"/>
    <col min="1539" max="1539" width="10.7109375" style="10" bestFit="1" customWidth="1"/>
    <col min="1540" max="1540" width="23.85546875" style="10" customWidth="1"/>
    <col min="1541" max="1541" width="46.140625" style="10" customWidth="1"/>
    <col min="1542" max="1542" width="6.140625" style="10" bestFit="1" customWidth="1"/>
    <col min="1543" max="1543" width="8.85546875" style="10" bestFit="1" customWidth="1"/>
    <col min="1544" max="1544" width="18.5703125" style="10" customWidth="1"/>
    <col min="1545" max="1792" width="9.140625" style="10"/>
    <col min="1793" max="1793" width="9.7109375" style="10" customWidth="1"/>
    <col min="1794" max="1794" width="4.42578125" style="10" bestFit="1" customWidth="1"/>
    <col min="1795" max="1795" width="10.7109375" style="10" bestFit="1" customWidth="1"/>
    <col min="1796" max="1796" width="23.85546875" style="10" customWidth="1"/>
    <col min="1797" max="1797" width="46.140625" style="10" customWidth="1"/>
    <col min="1798" max="1798" width="6.140625" style="10" bestFit="1" customWidth="1"/>
    <col min="1799" max="1799" width="8.85546875" style="10" bestFit="1" customWidth="1"/>
    <col min="1800" max="1800" width="18.5703125" style="10" customWidth="1"/>
    <col min="1801" max="2048" width="9.140625" style="10"/>
    <col min="2049" max="2049" width="9.7109375" style="10" customWidth="1"/>
    <col min="2050" max="2050" width="4.42578125" style="10" bestFit="1" customWidth="1"/>
    <col min="2051" max="2051" width="10.7109375" style="10" bestFit="1" customWidth="1"/>
    <col min="2052" max="2052" width="23.85546875" style="10" customWidth="1"/>
    <col min="2053" max="2053" width="46.140625" style="10" customWidth="1"/>
    <col min="2054" max="2054" width="6.140625" style="10" bestFit="1" customWidth="1"/>
    <col min="2055" max="2055" width="8.85546875" style="10" bestFit="1" customWidth="1"/>
    <col min="2056" max="2056" width="18.5703125" style="10" customWidth="1"/>
    <col min="2057" max="2304" width="9.140625" style="10"/>
    <col min="2305" max="2305" width="9.7109375" style="10" customWidth="1"/>
    <col min="2306" max="2306" width="4.42578125" style="10" bestFit="1" customWidth="1"/>
    <col min="2307" max="2307" width="10.7109375" style="10" bestFit="1" customWidth="1"/>
    <col min="2308" max="2308" width="23.85546875" style="10" customWidth="1"/>
    <col min="2309" max="2309" width="46.140625" style="10" customWidth="1"/>
    <col min="2310" max="2310" width="6.140625" style="10" bestFit="1" customWidth="1"/>
    <col min="2311" max="2311" width="8.85546875" style="10" bestFit="1" customWidth="1"/>
    <col min="2312" max="2312" width="18.5703125" style="10" customWidth="1"/>
    <col min="2313" max="2560" width="9.140625" style="10"/>
    <col min="2561" max="2561" width="9.7109375" style="10" customWidth="1"/>
    <col min="2562" max="2562" width="4.42578125" style="10" bestFit="1" customWidth="1"/>
    <col min="2563" max="2563" width="10.7109375" style="10" bestFit="1" customWidth="1"/>
    <col min="2564" max="2564" width="23.85546875" style="10" customWidth="1"/>
    <col min="2565" max="2565" width="46.140625" style="10" customWidth="1"/>
    <col min="2566" max="2566" width="6.140625" style="10" bestFit="1" customWidth="1"/>
    <col min="2567" max="2567" width="8.85546875" style="10" bestFit="1" customWidth="1"/>
    <col min="2568" max="2568" width="18.5703125" style="10" customWidth="1"/>
    <col min="2569" max="2816" width="9.140625" style="10"/>
    <col min="2817" max="2817" width="9.7109375" style="10" customWidth="1"/>
    <col min="2818" max="2818" width="4.42578125" style="10" bestFit="1" customWidth="1"/>
    <col min="2819" max="2819" width="10.7109375" style="10" bestFit="1" customWidth="1"/>
    <col min="2820" max="2820" width="23.85546875" style="10" customWidth="1"/>
    <col min="2821" max="2821" width="46.140625" style="10" customWidth="1"/>
    <col min="2822" max="2822" width="6.140625" style="10" bestFit="1" customWidth="1"/>
    <col min="2823" max="2823" width="8.85546875" style="10" bestFit="1" customWidth="1"/>
    <col min="2824" max="2824" width="18.5703125" style="10" customWidth="1"/>
    <col min="2825" max="3072" width="9.140625" style="10"/>
    <col min="3073" max="3073" width="9.7109375" style="10" customWidth="1"/>
    <col min="3074" max="3074" width="4.42578125" style="10" bestFit="1" customWidth="1"/>
    <col min="3075" max="3075" width="10.7109375" style="10" bestFit="1" customWidth="1"/>
    <col min="3076" max="3076" width="23.85546875" style="10" customWidth="1"/>
    <col min="3077" max="3077" width="46.140625" style="10" customWidth="1"/>
    <col min="3078" max="3078" width="6.140625" style="10" bestFit="1" customWidth="1"/>
    <col min="3079" max="3079" width="8.85546875" style="10" bestFit="1" customWidth="1"/>
    <col min="3080" max="3080" width="18.5703125" style="10" customWidth="1"/>
    <col min="3081" max="3328" width="9.140625" style="10"/>
    <col min="3329" max="3329" width="9.7109375" style="10" customWidth="1"/>
    <col min="3330" max="3330" width="4.42578125" style="10" bestFit="1" customWidth="1"/>
    <col min="3331" max="3331" width="10.7109375" style="10" bestFit="1" customWidth="1"/>
    <col min="3332" max="3332" width="23.85546875" style="10" customWidth="1"/>
    <col min="3333" max="3333" width="46.140625" style="10" customWidth="1"/>
    <col min="3334" max="3334" width="6.140625" style="10" bestFit="1" customWidth="1"/>
    <col min="3335" max="3335" width="8.85546875" style="10" bestFit="1" customWidth="1"/>
    <col min="3336" max="3336" width="18.5703125" style="10" customWidth="1"/>
    <col min="3337" max="3584" width="9.140625" style="10"/>
    <col min="3585" max="3585" width="9.7109375" style="10" customWidth="1"/>
    <col min="3586" max="3586" width="4.42578125" style="10" bestFit="1" customWidth="1"/>
    <col min="3587" max="3587" width="10.7109375" style="10" bestFit="1" customWidth="1"/>
    <col min="3588" max="3588" width="23.85546875" style="10" customWidth="1"/>
    <col min="3589" max="3589" width="46.140625" style="10" customWidth="1"/>
    <col min="3590" max="3590" width="6.140625" style="10" bestFit="1" customWidth="1"/>
    <col min="3591" max="3591" width="8.85546875" style="10" bestFit="1" customWidth="1"/>
    <col min="3592" max="3592" width="18.5703125" style="10" customWidth="1"/>
    <col min="3593" max="3840" width="9.140625" style="10"/>
    <col min="3841" max="3841" width="9.7109375" style="10" customWidth="1"/>
    <col min="3842" max="3842" width="4.42578125" style="10" bestFit="1" customWidth="1"/>
    <col min="3843" max="3843" width="10.7109375" style="10" bestFit="1" customWidth="1"/>
    <col min="3844" max="3844" width="23.85546875" style="10" customWidth="1"/>
    <col min="3845" max="3845" width="46.140625" style="10" customWidth="1"/>
    <col min="3846" max="3846" width="6.140625" style="10" bestFit="1" customWidth="1"/>
    <col min="3847" max="3847" width="8.85546875" style="10" bestFit="1" customWidth="1"/>
    <col min="3848" max="3848" width="18.5703125" style="10" customWidth="1"/>
    <col min="3849" max="4096" width="9.140625" style="10"/>
    <col min="4097" max="4097" width="9.7109375" style="10" customWidth="1"/>
    <col min="4098" max="4098" width="4.42578125" style="10" bestFit="1" customWidth="1"/>
    <col min="4099" max="4099" width="10.7109375" style="10" bestFit="1" customWidth="1"/>
    <col min="4100" max="4100" width="23.85546875" style="10" customWidth="1"/>
    <col min="4101" max="4101" width="46.140625" style="10" customWidth="1"/>
    <col min="4102" max="4102" width="6.140625" style="10" bestFit="1" customWidth="1"/>
    <col min="4103" max="4103" width="8.85546875" style="10" bestFit="1" customWidth="1"/>
    <col min="4104" max="4104" width="18.5703125" style="10" customWidth="1"/>
    <col min="4105" max="4352" width="9.140625" style="10"/>
    <col min="4353" max="4353" width="9.7109375" style="10" customWidth="1"/>
    <col min="4354" max="4354" width="4.42578125" style="10" bestFit="1" customWidth="1"/>
    <col min="4355" max="4355" width="10.7109375" style="10" bestFit="1" customWidth="1"/>
    <col min="4356" max="4356" width="23.85546875" style="10" customWidth="1"/>
    <col min="4357" max="4357" width="46.140625" style="10" customWidth="1"/>
    <col min="4358" max="4358" width="6.140625" style="10" bestFit="1" customWidth="1"/>
    <col min="4359" max="4359" width="8.85546875" style="10" bestFit="1" customWidth="1"/>
    <col min="4360" max="4360" width="18.5703125" style="10" customWidth="1"/>
    <col min="4361" max="4608" width="9.140625" style="10"/>
    <col min="4609" max="4609" width="9.7109375" style="10" customWidth="1"/>
    <col min="4610" max="4610" width="4.42578125" style="10" bestFit="1" customWidth="1"/>
    <col min="4611" max="4611" width="10.7109375" style="10" bestFit="1" customWidth="1"/>
    <col min="4612" max="4612" width="23.85546875" style="10" customWidth="1"/>
    <col min="4613" max="4613" width="46.140625" style="10" customWidth="1"/>
    <col min="4614" max="4614" width="6.140625" style="10" bestFit="1" customWidth="1"/>
    <col min="4615" max="4615" width="8.85546875" style="10" bestFit="1" customWidth="1"/>
    <col min="4616" max="4616" width="18.5703125" style="10" customWidth="1"/>
    <col min="4617" max="4864" width="9.140625" style="10"/>
    <col min="4865" max="4865" width="9.7109375" style="10" customWidth="1"/>
    <col min="4866" max="4866" width="4.42578125" style="10" bestFit="1" customWidth="1"/>
    <col min="4867" max="4867" width="10.7109375" style="10" bestFit="1" customWidth="1"/>
    <col min="4868" max="4868" width="23.85546875" style="10" customWidth="1"/>
    <col min="4869" max="4869" width="46.140625" style="10" customWidth="1"/>
    <col min="4870" max="4870" width="6.140625" style="10" bestFit="1" customWidth="1"/>
    <col min="4871" max="4871" width="8.85546875" style="10" bestFit="1" customWidth="1"/>
    <col min="4872" max="4872" width="18.5703125" style="10" customWidth="1"/>
    <col min="4873" max="5120" width="9.140625" style="10"/>
    <col min="5121" max="5121" width="9.7109375" style="10" customWidth="1"/>
    <col min="5122" max="5122" width="4.42578125" style="10" bestFit="1" customWidth="1"/>
    <col min="5123" max="5123" width="10.7109375" style="10" bestFit="1" customWidth="1"/>
    <col min="5124" max="5124" width="23.85546875" style="10" customWidth="1"/>
    <col min="5125" max="5125" width="46.140625" style="10" customWidth="1"/>
    <col min="5126" max="5126" width="6.140625" style="10" bestFit="1" customWidth="1"/>
    <col min="5127" max="5127" width="8.85546875" style="10" bestFit="1" customWidth="1"/>
    <col min="5128" max="5128" width="18.5703125" style="10" customWidth="1"/>
    <col min="5129" max="5376" width="9.140625" style="10"/>
    <col min="5377" max="5377" width="9.7109375" style="10" customWidth="1"/>
    <col min="5378" max="5378" width="4.42578125" style="10" bestFit="1" customWidth="1"/>
    <col min="5379" max="5379" width="10.7109375" style="10" bestFit="1" customWidth="1"/>
    <col min="5380" max="5380" width="23.85546875" style="10" customWidth="1"/>
    <col min="5381" max="5381" width="46.140625" style="10" customWidth="1"/>
    <col min="5382" max="5382" width="6.140625" style="10" bestFit="1" customWidth="1"/>
    <col min="5383" max="5383" width="8.85546875" style="10" bestFit="1" customWidth="1"/>
    <col min="5384" max="5384" width="18.5703125" style="10" customWidth="1"/>
    <col min="5385" max="5632" width="9.140625" style="10"/>
    <col min="5633" max="5633" width="9.7109375" style="10" customWidth="1"/>
    <col min="5634" max="5634" width="4.42578125" style="10" bestFit="1" customWidth="1"/>
    <col min="5635" max="5635" width="10.7109375" style="10" bestFit="1" customWidth="1"/>
    <col min="5636" max="5636" width="23.85546875" style="10" customWidth="1"/>
    <col min="5637" max="5637" width="46.140625" style="10" customWidth="1"/>
    <col min="5638" max="5638" width="6.140625" style="10" bestFit="1" customWidth="1"/>
    <col min="5639" max="5639" width="8.85546875" style="10" bestFit="1" customWidth="1"/>
    <col min="5640" max="5640" width="18.5703125" style="10" customWidth="1"/>
    <col min="5641" max="5888" width="9.140625" style="10"/>
    <col min="5889" max="5889" width="9.7109375" style="10" customWidth="1"/>
    <col min="5890" max="5890" width="4.42578125" style="10" bestFit="1" customWidth="1"/>
    <col min="5891" max="5891" width="10.7109375" style="10" bestFit="1" customWidth="1"/>
    <col min="5892" max="5892" width="23.85546875" style="10" customWidth="1"/>
    <col min="5893" max="5893" width="46.140625" style="10" customWidth="1"/>
    <col min="5894" max="5894" width="6.140625" style="10" bestFit="1" customWidth="1"/>
    <col min="5895" max="5895" width="8.85546875" style="10" bestFit="1" customWidth="1"/>
    <col min="5896" max="5896" width="18.5703125" style="10" customWidth="1"/>
    <col min="5897" max="6144" width="9.140625" style="10"/>
    <col min="6145" max="6145" width="9.7109375" style="10" customWidth="1"/>
    <col min="6146" max="6146" width="4.42578125" style="10" bestFit="1" customWidth="1"/>
    <col min="6147" max="6147" width="10.7109375" style="10" bestFit="1" customWidth="1"/>
    <col min="6148" max="6148" width="23.85546875" style="10" customWidth="1"/>
    <col min="6149" max="6149" width="46.140625" style="10" customWidth="1"/>
    <col min="6150" max="6150" width="6.140625" style="10" bestFit="1" customWidth="1"/>
    <col min="6151" max="6151" width="8.85546875" style="10" bestFit="1" customWidth="1"/>
    <col min="6152" max="6152" width="18.5703125" style="10" customWidth="1"/>
    <col min="6153" max="6400" width="9.140625" style="10"/>
    <col min="6401" max="6401" width="9.7109375" style="10" customWidth="1"/>
    <col min="6402" max="6402" width="4.42578125" style="10" bestFit="1" customWidth="1"/>
    <col min="6403" max="6403" width="10.7109375" style="10" bestFit="1" customWidth="1"/>
    <col min="6404" max="6404" width="23.85546875" style="10" customWidth="1"/>
    <col min="6405" max="6405" width="46.140625" style="10" customWidth="1"/>
    <col min="6406" max="6406" width="6.140625" style="10" bestFit="1" customWidth="1"/>
    <col min="6407" max="6407" width="8.85546875" style="10" bestFit="1" customWidth="1"/>
    <col min="6408" max="6408" width="18.5703125" style="10" customWidth="1"/>
    <col min="6409" max="6656" width="9.140625" style="10"/>
    <col min="6657" max="6657" width="9.7109375" style="10" customWidth="1"/>
    <col min="6658" max="6658" width="4.42578125" style="10" bestFit="1" customWidth="1"/>
    <col min="6659" max="6659" width="10.7109375" style="10" bestFit="1" customWidth="1"/>
    <col min="6660" max="6660" width="23.85546875" style="10" customWidth="1"/>
    <col min="6661" max="6661" width="46.140625" style="10" customWidth="1"/>
    <col min="6662" max="6662" width="6.140625" style="10" bestFit="1" customWidth="1"/>
    <col min="6663" max="6663" width="8.85546875" style="10" bestFit="1" customWidth="1"/>
    <col min="6664" max="6664" width="18.5703125" style="10" customWidth="1"/>
    <col min="6665" max="6912" width="9.140625" style="10"/>
    <col min="6913" max="6913" width="9.7109375" style="10" customWidth="1"/>
    <col min="6914" max="6914" width="4.42578125" style="10" bestFit="1" customWidth="1"/>
    <col min="6915" max="6915" width="10.7109375" style="10" bestFit="1" customWidth="1"/>
    <col min="6916" max="6916" width="23.85546875" style="10" customWidth="1"/>
    <col min="6917" max="6917" width="46.140625" style="10" customWidth="1"/>
    <col min="6918" max="6918" width="6.140625" style="10" bestFit="1" customWidth="1"/>
    <col min="6919" max="6919" width="8.85546875" style="10" bestFit="1" customWidth="1"/>
    <col min="6920" max="6920" width="18.5703125" style="10" customWidth="1"/>
    <col min="6921" max="7168" width="9.140625" style="10"/>
    <col min="7169" max="7169" width="9.7109375" style="10" customWidth="1"/>
    <col min="7170" max="7170" width="4.42578125" style="10" bestFit="1" customWidth="1"/>
    <col min="7171" max="7171" width="10.7109375" style="10" bestFit="1" customWidth="1"/>
    <col min="7172" max="7172" width="23.85546875" style="10" customWidth="1"/>
    <col min="7173" max="7173" width="46.140625" style="10" customWidth="1"/>
    <col min="7174" max="7174" width="6.140625" style="10" bestFit="1" customWidth="1"/>
    <col min="7175" max="7175" width="8.85546875" style="10" bestFit="1" customWidth="1"/>
    <col min="7176" max="7176" width="18.5703125" style="10" customWidth="1"/>
    <col min="7177" max="7424" width="9.140625" style="10"/>
    <col min="7425" max="7425" width="9.7109375" style="10" customWidth="1"/>
    <col min="7426" max="7426" width="4.42578125" style="10" bestFit="1" customWidth="1"/>
    <col min="7427" max="7427" width="10.7109375" style="10" bestFit="1" customWidth="1"/>
    <col min="7428" max="7428" width="23.85546875" style="10" customWidth="1"/>
    <col min="7429" max="7429" width="46.140625" style="10" customWidth="1"/>
    <col min="7430" max="7430" width="6.140625" style="10" bestFit="1" customWidth="1"/>
    <col min="7431" max="7431" width="8.85546875" style="10" bestFit="1" customWidth="1"/>
    <col min="7432" max="7432" width="18.5703125" style="10" customWidth="1"/>
    <col min="7433" max="7680" width="9.140625" style="10"/>
    <col min="7681" max="7681" width="9.7109375" style="10" customWidth="1"/>
    <col min="7682" max="7682" width="4.42578125" style="10" bestFit="1" customWidth="1"/>
    <col min="7683" max="7683" width="10.7109375" style="10" bestFit="1" customWidth="1"/>
    <col min="7684" max="7684" width="23.85546875" style="10" customWidth="1"/>
    <col min="7685" max="7685" width="46.140625" style="10" customWidth="1"/>
    <col min="7686" max="7686" width="6.140625" style="10" bestFit="1" customWidth="1"/>
    <col min="7687" max="7687" width="8.85546875" style="10" bestFit="1" customWidth="1"/>
    <col min="7688" max="7688" width="18.5703125" style="10" customWidth="1"/>
    <col min="7689" max="7936" width="9.140625" style="10"/>
    <col min="7937" max="7937" width="9.7109375" style="10" customWidth="1"/>
    <col min="7938" max="7938" width="4.42578125" style="10" bestFit="1" customWidth="1"/>
    <col min="7939" max="7939" width="10.7109375" style="10" bestFit="1" customWidth="1"/>
    <col min="7940" max="7940" width="23.85546875" style="10" customWidth="1"/>
    <col min="7941" max="7941" width="46.140625" style="10" customWidth="1"/>
    <col min="7942" max="7942" width="6.140625" style="10" bestFit="1" customWidth="1"/>
    <col min="7943" max="7943" width="8.85546875" style="10" bestFit="1" customWidth="1"/>
    <col min="7944" max="7944" width="18.5703125" style="10" customWidth="1"/>
    <col min="7945" max="8192" width="9.140625" style="10"/>
    <col min="8193" max="8193" width="9.7109375" style="10" customWidth="1"/>
    <col min="8194" max="8194" width="4.42578125" style="10" bestFit="1" customWidth="1"/>
    <col min="8195" max="8195" width="10.7109375" style="10" bestFit="1" customWidth="1"/>
    <col min="8196" max="8196" width="23.85546875" style="10" customWidth="1"/>
    <col min="8197" max="8197" width="46.140625" style="10" customWidth="1"/>
    <col min="8198" max="8198" width="6.140625" style="10" bestFit="1" customWidth="1"/>
    <col min="8199" max="8199" width="8.85546875" style="10" bestFit="1" customWidth="1"/>
    <col min="8200" max="8200" width="18.5703125" style="10" customWidth="1"/>
    <col min="8201" max="8448" width="9.140625" style="10"/>
    <col min="8449" max="8449" width="9.7109375" style="10" customWidth="1"/>
    <col min="8450" max="8450" width="4.42578125" style="10" bestFit="1" customWidth="1"/>
    <col min="8451" max="8451" width="10.7109375" style="10" bestFit="1" customWidth="1"/>
    <col min="8452" max="8452" width="23.85546875" style="10" customWidth="1"/>
    <col min="8453" max="8453" width="46.140625" style="10" customWidth="1"/>
    <col min="8454" max="8454" width="6.140625" style="10" bestFit="1" customWidth="1"/>
    <col min="8455" max="8455" width="8.85546875" style="10" bestFit="1" customWidth="1"/>
    <col min="8456" max="8456" width="18.5703125" style="10" customWidth="1"/>
    <col min="8457" max="8704" width="9.140625" style="10"/>
    <col min="8705" max="8705" width="9.7109375" style="10" customWidth="1"/>
    <col min="8706" max="8706" width="4.42578125" style="10" bestFit="1" customWidth="1"/>
    <col min="8707" max="8707" width="10.7109375" style="10" bestFit="1" customWidth="1"/>
    <col min="8708" max="8708" width="23.85546875" style="10" customWidth="1"/>
    <col min="8709" max="8709" width="46.140625" style="10" customWidth="1"/>
    <col min="8710" max="8710" width="6.140625" style="10" bestFit="1" customWidth="1"/>
    <col min="8711" max="8711" width="8.85546875" style="10" bestFit="1" customWidth="1"/>
    <col min="8712" max="8712" width="18.5703125" style="10" customWidth="1"/>
    <col min="8713" max="8960" width="9.140625" style="10"/>
    <col min="8961" max="8961" width="9.7109375" style="10" customWidth="1"/>
    <col min="8962" max="8962" width="4.42578125" style="10" bestFit="1" customWidth="1"/>
    <col min="8963" max="8963" width="10.7109375" style="10" bestFit="1" customWidth="1"/>
    <col min="8964" max="8964" width="23.85546875" style="10" customWidth="1"/>
    <col min="8965" max="8965" width="46.140625" style="10" customWidth="1"/>
    <col min="8966" max="8966" width="6.140625" style="10" bestFit="1" customWidth="1"/>
    <col min="8967" max="8967" width="8.85546875" style="10" bestFit="1" customWidth="1"/>
    <col min="8968" max="8968" width="18.5703125" style="10" customWidth="1"/>
    <col min="8969" max="9216" width="9.140625" style="10"/>
    <col min="9217" max="9217" width="9.7109375" style="10" customWidth="1"/>
    <col min="9218" max="9218" width="4.42578125" style="10" bestFit="1" customWidth="1"/>
    <col min="9219" max="9219" width="10.7109375" style="10" bestFit="1" customWidth="1"/>
    <col min="9220" max="9220" width="23.85546875" style="10" customWidth="1"/>
    <col min="9221" max="9221" width="46.140625" style="10" customWidth="1"/>
    <col min="9222" max="9222" width="6.140625" style="10" bestFit="1" customWidth="1"/>
    <col min="9223" max="9223" width="8.85546875" style="10" bestFit="1" customWidth="1"/>
    <col min="9224" max="9224" width="18.5703125" style="10" customWidth="1"/>
    <col min="9225" max="9472" width="9.140625" style="10"/>
    <col min="9473" max="9473" width="9.7109375" style="10" customWidth="1"/>
    <col min="9474" max="9474" width="4.42578125" style="10" bestFit="1" customWidth="1"/>
    <col min="9475" max="9475" width="10.7109375" style="10" bestFit="1" customWidth="1"/>
    <col min="9476" max="9476" width="23.85546875" style="10" customWidth="1"/>
    <col min="9477" max="9477" width="46.140625" style="10" customWidth="1"/>
    <col min="9478" max="9478" width="6.140625" style="10" bestFit="1" customWidth="1"/>
    <col min="9479" max="9479" width="8.85546875" style="10" bestFit="1" customWidth="1"/>
    <col min="9480" max="9480" width="18.5703125" style="10" customWidth="1"/>
    <col min="9481" max="9728" width="9.140625" style="10"/>
    <col min="9729" max="9729" width="9.7109375" style="10" customWidth="1"/>
    <col min="9730" max="9730" width="4.42578125" style="10" bestFit="1" customWidth="1"/>
    <col min="9731" max="9731" width="10.7109375" style="10" bestFit="1" customWidth="1"/>
    <col min="9732" max="9732" width="23.85546875" style="10" customWidth="1"/>
    <col min="9733" max="9733" width="46.140625" style="10" customWidth="1"/>
    <col min="9734" max="9734" width="6.140625" style="10" bestFit="1" customWidth="1"/>
    <col min="9735" max="9735" width="8.85546875" style="10" bestFit="1" customWidth="1"/>
    <col min="9736" max="9736" width="18.5703125" style="10" customWidth="1"/>
    <col min="9737" max="9984" width="9.140625" style="10"/>
    <col min="9985" max="9985" width="9.7109375" style="10" customWidth="1"/>
    <col min="9986" max="9986" width="4.42578125" style="10" bestFit="1" customWidth="1"/>
    <col min="9987" max="9987" width="10.7109375" style="10" bestFit="1" customWidth="1"/>
    <col min="9988" max="9988" width="23.85546875" style="10" customWidth="1"/>
    <col min="9989" max="9989" width="46.140625" style="10" customWidth="1"/>
    <col min="9990" max="9990" width="6.140625" style="10" bestFit="1" customWidth="1"/>
    <col min="9991" max="9991" width="8.85546875" style="10" bestFit="1" customWidth="1"/>
    <col min="9992" max="9992" width="18.5703125" style="10" customWidth="1"/>
    <col min="9993" max="10240" width="9.140625" style="10"/>
    <col min="10241" max="10241" width="9.7109375" style="10" customWidth="1"/>
    <col min="10242" max="10242" width="4.42578125" style="10" bestFit="1" customWidth="1"/>
    <col min="10243" max="10243" width="10.7109375" style="10" bestFit="1" customWidth="1"/>
    <col min="10244" max="10244" width="23.85546875" style="10" customWidth="1"/>
    <col min="10245" max="10245" width="46.140625" style="10" customWidth="1"/>
    <col min="10246" max="10246" width="6.140625" style="10" bestFit="1" customWidth="1"/>
    <col min="10247" max="10247" width="8.85546875" style="10" bestFit="1" customWidth="1"/>
    <col min="10248" max="10248" width="18.5703125" style="10" customWidth="1"/>
    <col min="10249" max="10496" width="9.140625" style="10"/>
    <col min="10497" max="10497" width="9.7109375" style="10" customWidth="1"/>
    <col min="10498" max="10498" width="4.42578125" style="10" bestFit="1" customWidth="1"/>
    <col min="10499" max="10499" width="10.7109375" style="10" bestFit="1" customWidth="1"/>
    <col min="10500" max="10500" width="23.85546875" style="10" customWidth="1"/>
    <col min="10501" max="10501" width="46.140625" style="10" customWidth="1"/>
    <col min="10502" max="10502" width="6.140625" style="10" bestFit="1" customWidth="1"/>
    <col min="10503" max="10503" width="8.85546875" style="10" bestFit="1" customWidth="1"/>
    <col min="10504" max="10504" width="18.5703125" style="10" customWidth="1"/>
    <col min="10505" max="10752" width="9.140625" style="10"/>
    <col min="10753" max="10753" width="9.7109375" style="10" customWidth="1"/>
    <col min="10754" max="10754" width="4.42578125" style="10" bestFit="1" customWidth="1"/>
    <col min="10755" max="10755" width="10.7109375" style="10" bestFit="1" customWidth="1"/>
    <col min="10756" max="10756" width="23.85546875" style="10" customWidth="1"/>
    <col min="10757" max="10757" width="46.140625" style="10" customWidth="1"/>
    <col min="10758" max="10758" width="6.140625" style="10" bestFit="1" customWidth="1"/>
    <col min="10759" max="10759" width="8.85546875" style="10" bestFit="1" customWidth="1"/>
    <col min="10760" max="10760" width="18.5703125" style="10" customWidth="1"/>
    <col min="10761" max="11008" width="9.140625" style="10"/>
    <col min="11009" max="11009" width="9.7109375" style="10" customWidth="1"/>
    <col min="11010" max="11010" width="4.42578125" style="10" bestFit="1" customWidth="1"/>
    <col min="11011" max="11011" width="10.7109375" style="10" bestFit="1" customWidth="1"/>
    <col min="11012" max="11012" width="23.85546875" style="10" customWidth="1"/>
    <col min="11013" max="11013" width="46.140625" style="10" customWidth="1"/>
    <col min="11014" max="11014" width="6.140625" style="10" bestFit="1" customWidth="1"/>
    <col min="11015" max="11015" width="8.85546875" style="10" bestFit="1" customWidth="1"/>
    <col min="11016" max="11016" width="18.5703125" style="10" customWidth="1"/>
    <col min="11017" max="11264" width="9.140625" style="10"/>
    <col min="11265" max="11265" width="9.7109375" style="10" customWidth="1"/>
    <col min="11266" max="11266" width="4.42578125" style="10" bestFit="1" customWidth="1"/>
    <col min="11267" max="11267" width="10.7109375" style="10" bestFit="1" customWidth="1"/>
    <col min="11268" max="11268" width="23.85546875" style="10" customWidth="1"/>
    <col min="11269" max="11269" width="46.140625" style="10" customWidth="1"/>
    <col min="11270" max="11270" width="6.140625" style="10" bestFit="1" customWidth="1"/>
    <col min="11271" max="11271" width="8.85546875" style="10" bestFit="1" customWidth="1"/>
    <col min="11272" max="11272" width="18.5703125" style="10" customWidth="1"/>
    <col min="11273" max="11520" width="9.140625" style="10"/>
    <col min="11521" max="11521" width="9.7109375" style="10" customWidth="1"/>
    <col min="11522" max="11522" width="4.42578125" style="10" bestFit="1" customWidth="1"/>
    <col min="11523" max="11523" width="10.7109375" style="10" bestFit="1" customWidth="1"/>
    <col min="11524" max="11524" width="23.85546875" style="10" customWidth="1"/>
    <col min="11525" max="11525" width="46.140625" style="10" customWidth="1"/>
    <col min="11526" max="11526" width="6.140625" style="10" bestFit="1" customWidth="1"/>
    <col min="11527" max="11527" width="8.85546875" style="10" bestFit="1" customWidth="1"/>
    <col min="11528" max="11528" width="18.5703125" style="10" customWidth="1"/>
    <col min="11529" max="11776" width="9.140625" style="10"/>
    <col min="11777" max="11777" width="9.7109375" style="10" customWidth="1"/>
    <col min="11778" max="11778" width="4.42578125" style="10" bestFit="1" customWidth="1"/>
    <col min="11779" max="11779" width="10.7109375" style="10" bestFit="1" customWidth="1"/>
    <col min="11780" max="11780" width="23.85546875" style="10" customWidth="1"/>
    <col min="11781" max="11781" width="46.140625" style="10" customWidth="1"/>
    <col min="11782" max="11782" width="6.140625" style="10" bestFit="1" customWidth="1"/>
    <col min="11783" max="11783" width="8.85546875" style="10" bestFit="1" customWidth="1"/>
    <col min="11784" max="11784" width="18.5703125" style="10" customWidth="1"/>
    <col min="11785" max="12032" width="9.140625" style="10"/>
    <col min="12033" max="12033" width="9.7109375" style="10" customWidth="1"/>
    <col min="12034" max="12034" width="4.42578125" style="10" bestFit="1" customWidth="1"/>
    <col min="12035" max="12035" width="10.7109375" style="10" bestFit="1" customWidth="1"/>
    <col min="12036" max="12036" width="23.85546875" style="10" customWidth="1"/>
    <col min="12037" max="12037" width="46.140625" style="10" customWidth="1"/>
    <col min="12038" max="12038" width="6.140625" style="10" bestFit="1" customWidth="1"/>
    <col min="12039" max="12039" width="8.85546875" style="10" bestFit="1" customWidth="1"/>
    <col min="12040" max="12040" width="18.5703125" style="10" customWidth="1"/>
    <col min="12041" max="12288" width="9.140625" style="10"/>
    <col min="12289" max="12289" width="9.7109375" style="10" customWidth="1"/>
    <col min="12290" max="12290" width="4.42578125" style="10" bestFit="1" customWidth="1"/>
    <col min="12291" max="12291" width="10.7109375" style="10" bestFit="1" customWidth="1"/>
    <col min="12292" max="12292" width="23.85546875" style="10" customWidth="1"/>
    <col min="12293" max="12293" width="46.140625" style="10" customWidth="1"/>
    <col min="12294" max="12294" width="6.140625" style="10" bestFit="1" customWidth="1"/>
    <col min="12295" max="12295" width="8.85546875" style="10" bestFit="1" customWidth="1"/>
    <col min="12296" max="12296" width="18.5703125" style="10" customWidth="1"/>
    <col min="12297" max="12544" width="9.140625" style="10"/>
    <col min="12545" max="12545" width="9.7109375" style="10" customWidth="1"/>
    <col min="12546" max="12546" width="4.42578125" style="10" bestFit="1" customWidth="1"/>
    <col min="12547" max="12547" width="10.7109375" style="10" bestFit="1" customWidth="1"/>
    <col min="12548" max="12548" width="23.85546875" style="10" customWidth="1"/>
    <col min="12549" max="12549" width="46.140625" style="10" customWidth="1"/>
    <col min="12550" max="12550" width="6.140625" style="10" bestFit="1" customWidth="1"/>
    <col min="12551" max="12551" width="8.85546875" style="10" bestFit="1" customWidth="1"/>
    <col min="12552" max="12552" width="18.5703125" style="10" customWidth="1"/>
    <col min="12553" max="12800" width="9.140625" style="10"/>
    <col min="12801" max="12801" width="9.7109375" style="10" customWidth="1"/>
    <col min="12802" max="12802" width="4.42578125" style="10" bestFit="1" customWidth="1"/>
    <col min="12803" max="12803" width="10.7109375" style="10" bestFit="1" customWidth="1"/>
    <col min="12804" max="12804" width="23.85546875" style="10" customWidth="1"/>
    <col min="12805" max="12805" width="46.140625" style="10" customWidth="1"/>
    <col min="12806" max="12806" width="6.140625" style="10" bestFit="1" customWidth="1"/>
    <col min="12807" max="12807" width="8.85546875" style="10" bestFit="1" customWidth="1"/>
    <col min="12808" max="12808" width="18.5703125" style="10" customWidth="1"/>
    <col min="12809" max="13056" width="9.140625" style="10"/>
    <col min="13057" max="13057" width="9.7109375" style="10" customWidth="1"/>
    <col min="13058" max="13058" width="4.42578125" style="10" bestFit="1" customWidth="1"/>
    <col min="13059" max="13059" width="10.7109375" style="10" bestFit="1" customWidth="1"/>
    <col min="13060" max="13060" width="23.85546875" style="10" customWidth="1"/>
    <col min="13061" max="13061" width="46.140625" style="10" customWidth="1"/>
    <col min="13062" max="13062" width="6.140625" style="10" bestFit="1" customWidth="1"/>
    <col min="13063" max="13063" width="8.85546875" style="10" bestFit="1" customWidth="1"/>
    <col min="13064" max="13064" width="18.5703125" style="10" customWidth="1"/>
    <col min="13065" max="13312" width="9.140625" style="10"/>
    <col min="13313" max="13313" width="9.7109375" style="10" customWidth="1"/>
    <col min="13314" max="13314" width="4.42578125" style="10" bestFit="1" customWidth="1"/>
    <col min="13315" max="13315" width="10.7109375" style="10" bestFit="1" customWidth="1"/>
    <col min="13316" max="13316" width="23.85546875" style="10" customWidth="1"/>
    <col min="13317" max="13317" width="46.140625" style="10" customWidth="1"/>
    <col min="13318" max="13318" width="6.140625" style="10" bestFit="1" customWidth="1"/>
    <col min="13319" max="13319" width="8.85546875" style="10" bestFit="1" customWidth="1"/>
    <col min="13320" max="13320" width="18.5703125" style="10" customWidth="1"/>
    <col min="13321" max="13568" width="9.140625" style="10"/>
    <col min="13569" max="13569" width="9.7109375" style="10" customWidth="1"/>
    <col min="13570" max="13570" width="4.42578125" style="10" bestFit="1" customWidth="1"/>
    <col min="13571" max="13571" width="10.7109375" style="10" bestFit="1" customWidth="1"/>
    <col min="13572" max="13572" width="23.85546875" style="10" customWidth="1"/>
    <col min="13573" max="13573" width="46.140625" style="10" customWidth="1"/>
    <col min="13574" max="13574" width="6.140625" style="10" bestFit="1" customWidth="1"/>
    <col min="13575" max="13575" width="8.85546875" style="10" bestFit="1" customWidth="1"/>
    <col min="13576" max="13576" width="18.5703125" style="10" customWidth="1"/>
    <col min="13577" max="13824" width="9.140625" style="10"/>
    <col min="13825" max="13825" width="9.7109375" style="10" customWidth="1"/>
    <col min="13826" max="13826" width="4.42578125" style="10" bestFit="1" customWidth="1"/>
    <col min="13827" max="13827" width="10.7109375" style="10" bestFit="1" customWidth="1"/>
    <col min="13828" max="13828" width="23.85546875" style="10" customWidth="1"/>
    <col min="13829" max="13829" width="46.140625" style="10" customWidth="1"/>
    <col min="13830" max="13830" width="6.140625" style="10" bestFit="1" customWidth="1"/>
    <col min="13831" max="13831" width="8.85546875" style="10" bestFit="1" customWidth="1"/>
    <col min="13832" max="13832" width="18.5703125" style="10" customWidth="1"/>
    <col min="13833" max="14080" width="9.140625" style="10"/>
    <col min="14081" max="14081" width="9.7109375" style="10" customWidth="1"/>
    <col min="14082" max="14082" width="4.42578125" style="10" bestFit="1" customWidth="1"/>
    <col min="14083" max="14083" width="10.7109375" style="10" bestFit="1" customWidth="1"/>
    <col min="14084" max="14084" width="23.85546875" style="10" customWidth="1"/>
    <col min="14085" max="14085" width="46.140625" style="10" customWidth="1"/>
    <col min="14086" max="14086" width="6.140625" style="10" bestFit="1" customWidth="1"/>
    <col min="14087" max="14087" width="8.85546875" style="10" bestFit="1" customWidth="1"/>
    <col min="14088" max="14088" width="18.5703125" style="10" customWidth="1"/>
    <col min="14089" max="14336" width="9.140625" style="10"/>
    <col min="14337" max="14337" width="9.7109375" style="10" customWidth="1"/>
    <col min="14338" max="14338" width="4.42578125" style="10" bestFit="1" customWidth="1"/>
    <col min="14339" max="14339" width="10.7109375" style="10" bestFit="1" customWidth="1"/>
    <col min="14340" max="14340" width="23.85546875" style="10" customWidth="1"/>
    <col min="14341" max="14341" width="46.140625" style="10" customWidth="1"/>
    <col min="14342" max="14342" width="6.140625" style="10" bestFit="1" customWidth="1"/>
    <col min="14343" max="14343" width="8.85546875" style="10" bestFit="1" customWidth="1"/>
    <col min="14344" max="14344" width="18.5703125" style="10" customWidth="1"/>
    <col min="14345" max="14592" width="9.140625" style="10"/>
    <col min="14593" max="14593" width="9.7109375" style="10" customWidth="1"/>
    <col min="14594" max="14594" width="4.42578125" style="10" bestFit="1" customWidth="1"/>
    <col min="14595" max="14595" width="10.7109375" style="10" bestFit="1" customWidth="1"/>
    <col min="14596" max="14596" width="23.85546875" style="10" customWidth="1"/>
    <col min="14597" max="14597" width="46.140625" style="10" customWidth="1"/>
    <col min="14598" max="14598" width="6.140625" style="10" bestFit="1" customWidth="1"/>
    <col min="14599" max="14599" width="8.85546875" style="10" bestFit="1" customWidth="1"/>
    <col min="14600" max="14600" width="18.5703125" style="10" customWidth="1"/>
    <col min="14601" max="14848" width="9.140625" style="10"/>
    <col min="14849" max="14849" width="9.7109375" style="10" customWidth="1"/>
    <col min="14850" max="14850" width="4.42578125" style="10" bestFit="1" customWidth="1"/>
    <col min="14851" max="14851" width="10.7109375" style="10" bestFit="1" customWidth="1"/>
    <col min="14852" max="14852" width="23.85546875" style="10" customWidth="1"/>
    <col min="14853" max="14853" width="46.140625" style="10" customWidth="1"/>
    <col min="14854" max="14854" width="6.140625" style="10" bestFit="1" customWidth="1"/>
    <col min="14855" max="14855" width="8.85546875" style="10" bestFit="1" customWidth="1"/>
    <col min="14856" max="14856" width="18.5703125" style="10" customWidth="1"/>
    <col min="14857" max="15104" width="9.140625" style="10"/>
    <col min="15105" max="15105" width="9.7109375" style="10" customWidth="1"/>
    <col min="15106" max="15106" width="4.42578125" style="10" bestFit="1" customWidth="1"/>
    <col min="15107" max="15107" width="10.7109375" style="10" bestFit="1" customWidth="1"/>
    <col min="15108" max="15108" width="23.85546875" style="10" customWidth="1"/>
    <col min="15109" max="15109" width="46.140625" style="10" customWidth="1"/>
    <col min="15110" max="15110" width="6.140625" style="10" bestFit="1" customWidth="1"/>
    <col min="15111" max="15111" width="8.85546875" style="10" bestFit="1" customWidth="1"/>
    <col min="15112" max="15112" width="18.5703125" style="10" customWidth="1"/>
    <col min="15113" max="15360" width="9.140625" style="10"/>
    <col min="15361" max="15361" width="9.7109375" style="10" customWidth="1"/>
    <col min="15362" max="15362" width="4.42578125" style="10" bestFit="1" customWidth="1"/>
    <col min="15363" max="15363" width="10.7109375" style="10" bestFit="1" customWidth="1"/>
    <col min="15364" max="15364" width="23.85546875" style="10" customWidth="1"/>
    <col min="15365" max="15365" width="46.140625" style="10" customWidth="1"/>
    <col min="15366" max="15366" width="6.140625" style="10" bestFit="1" customWidth="1"/>
    <col min="15367" max="15367" width="8.85546875" style="10" bestFit="1" customWidth="1"/>
    <col min="15368" max="15368" width="18.5703125" style="10" customWidth="1"/>
    <col min="15369" max="15616" width="9.140625" style="10"/>
    <col min="15617" max="15617" width="9.7109375" style="10" customWidth="1"/>
    <col min="15618" max="15618" width="4.42578125" style="10" bestFit="1" customWidth="1"/>
    <col min="15619" max="15619" width="10.7109375" style="10" bestFit="1" customWidth="1"/>
    <col min="15620" max="15620" width="23.85546875" style="10" customWidth="1"/>
    <col min="15621" max="15621" width="46.140625" style="10" customWidth="1"/>
    <col min="15622" max="15622" width="6.140625" style="10" bestFit="1" customWidth="1"/>
    <col min="15623" max="15623" width="8.85546875" style="10" bestFit="1" customWidth="1"/>
    <col min="15624" max="15624" width="18.5703125" style="10" customWidth="1"/>
    <col min="15625" max="15872" width="9.140625" style="10"/>
    <col min="15873" max="15873" width="9.7109375" style="10" customWidth="1"/>
    <col min="15874" max="15874" width="4.42578125" style="10" bestFit="1" customWidth="1"/>
    <col min="15875" max="15875" width="10.7109375" style="10" bestFit="1" customWidth="1"/>
    <col min="15876" max="15876" width="23.85546875" style="10" customWidth="1"/>
    <col min="15877" max="15877" width="46.140625" style="10" customWidth="1"/>
    <col min="15878" max="15878" width="6.140625" style="10" bestFit="1" customWidth="1"/>
    <col min="15879" max="15879" width="8.85546875" style="10" bestFit="1" customWidth="1"/>
    <col min="15880" max="15880" width="18.5703125" style="10" customWidth="1"/>
    <col min="15881" max="16128" width="9.140625" style="10"/>
    <col min="16129" max="16129" width="9.7109375" style="10" customWidth="1"/>
    <col min="16130" max="16130" width="4.42578125" style="10" bestFit="1" customWidth="1"/>
    <col min="16131" max="16131" width="10.7109375" style="10" bestFit="1" customWidth="1"/>
    <col min="16132" max="16132" width="23.85546875" style="10" customWidth="1"/>
    <col min="16133" max="16133" width="46.140625" style="10" customWidth="1"/>
    <col min="16134" max="16134" width="6.140625" style="10" bestFit="1" customWidth="1"/>
    <col min="16135" max="16135" width="8.85546875" style="10" bestFit="1" customWidth="1"/>
    <col min="16136" max="16136" width="18.5703125" style="10" customWidth="1"/>
    <col min="16137" max="16384" width="9.140625" style="10"/>
  </cols>
  <sheetData>
    <row r="1" spans="1:41" ht="15.75" x14ac:dyDescent="0.25">
      <c r="A1" s="104"/>
      <c r="B1" s="105"/>
      <c r="C1" s="104"/>
      <c r="D1" s="104"/>
      <c r="E1" s="104"/>
      <c r="F1" s="104"/>
      <c r="G1" s="104"/>
      <c r="H1" s="104"/>
      <c r="I1" s="110"/>
    </row>
    <row r="2" spans="1:41" ht="15.75" x14ac:dyDescent="0.25">
      <c r="A2" s="104"/>
      <c r="B2" s="105"/>
      <c r="C2" s="104"/>
      <c r="D2" s="104"/>
      <c r="E2" s="104"/>
      <c r="F2" s="104"/>
      <c r="G2" s="104"/>
      <c r="H2" s="104"/>
    </row>
    <row r="3" spans="1:41" ht="15.75" x14ac:dyDescent="0.25">
      <c r="A3" s="104"/>
      <c r="B3" s="105"/>
      <c r="C3" s="104"/>
      <c r="D3" s="104"/>
      <c r="E3" s="104"/>
      <c r="F3" s="104"/>
      <c r="G3" s="104"/>
      <c r="H3" s="104"/>
      <c r="I3" s="115"/>
    </row>
    <row r="4" spans="1:41" ht="15.75" x14ac:dyDescent="0.25">
      <c r="A4" s="104"/>
      <c r="B4" s="105"/>
      <c r="C4" s="142" t="s">
        <v>307</v>
      </c>
      <c r="D4" s="142"/>
      <c r="E4" s="142"/>
      <c r="F4" s="142"/>
      <c r="G4" s="142"/>
      <c r="H4" s="142"/>
      <c r="I4" s="142"/>
      <c r="J4" s="142"/>
      <c r="AH4" s="104" t="s">
        <v>313</v>
      </c>
      <c r="AI4" s="105"/>
      <c r="AJ4" s="104"/>
      <c r="AK4" s="104"/>
      <c r="AL4" s="104"/>
      <c r="AM4" s="104"/>
      <c r="AN4" s="104" t="s">
        <v>29</v>
      </c>
      <c r="AO4" s="104"/>
    </row>
    <row r="5" spans="1:41" s="7" customFormat="1" ht="20.25" customHeight="1" x14ac:dyDescent="0.25">
      <c r="A5" s="104"/>
      <c r="B5" s="105"/>
      <c r="C5" s="142" t="s">
        <v>330</v>
      </c>
      <c r="D5" s="142"/>
      <c r="E5" s="142"/>
      <c r="F5" s="142"/>
      <c r="G5" s="142"/>
      <c r="H5" s="142"/>
      <c r="I5" s="142"/>
      <c r="J5" s="142"/>
      <c r="AH5" s="104" t="s">
        <v>305</v>
      </c>
      <c r="AI5" s="105"/>
      <c r="AJ5" s="105"/>
      <c r="AK5" s="105"/>
      <c r="AL5" s="10"/>
      <c r="AM5" s="104"/>
      <c r="AN5" s="104" t="s">
        <v>304</v>
      </c>
      <c r="AO5" s="104"/>
    </row>
    <row r="6" spans="1:41" s="7" customFormat="1" ht="20.25" customHeight="1" x14ac:dyDescent="0.25">
      <c r="A6" s="104"/>
      <c r="B6" s="105"/>
      <c r="C6" s="142" t="s">
        <v>331</v>
      </c>
      <c r="D6" s="142"/>
      <c r="E6" s="142"/>
      <c r="F6" s="142"/>
      <c r="G6" s="142"/>
      <c r="H6" s="142"/>
      <c r="I6" s="142"/>
      <c r="J6" s="142"/>
      <c r="AH6" s="104"/>
      <c r="AI6" s="105"/>
      <c r="AJ6" s="105"/>
      <c r="AK6" s="105"/>
      <c r="AL6" s="104"/>
      <c r="AM6" s="104"/>
      <c r="AN6" s="104"/>
      <c r="AO6" s="104"/>
    </row>
    <row r="7" spans="1:41" s="7" customFormat="1" ht="20.25" customHeight="1" x14ac:dyDescent="0.25">
      <c r="A7" s="104"/>
      <c r="B7" s="104"/>
      <c r="C7" s="142" t="s">
        <v>334</v>
      </c>
      <c r="D7" s="142"/>
      <c r="E7" s="142"/>
      <c r="F7" s="142"/>
      <c r="G7" s="142"/>
      <c r="H7" s="142"/>
      <c r="I7" s="142"/>
      <c r="J7" s="142"/>
      <c r="AH7" s="104"/>
      <c r="AI7" s="104"/>
      <c r="AJ7" s="104" t="s">
        <v>314</v>
      </c>
      <c r="AK7" s="104"/>
      <c r="AL7" s="104"/>
      <c r="AM7" s="104"/>
      <c r="AN7" s="104"/>
      <c r="AO7" s="104"/>
    </row>
    <row r="8" spans="1:41" s="7" customFormat="1" ht="20.25" x14ac:dyDescent="0.3">
      <c r="A8" s="10"/>
      <c r="B8" s="104"/>
      <c r="C8" s="104"/>
      <c r="D8" s="104"/>
      <c r="E8" s="104"/>
      <c r="F8" s="104"/>
      <c r="G8" s="104"/>
      <c r="H8" s="104"/>
      <c r="J8" s="106"/>
      <c r="AH8" s="10"/>
      <c r="AI8" s="104"/>
      <c r="AJ8" s="104" t="s">
        <v>303</v>
      </c>
      <c r="AL8" s="104"/>
      <c r="AM8" s="104"/>
      <c r="AN8" s="104"/>
      <c r="AO8" s="104"/>
    </row>
    <row r="9" spans="1:41" s="7" customFormat="1" ht="15.75" x14ac:dyDescent="0.25">
      <c r="A9" s="104"/>
      <c r="B9" s="105"/>
      <c r="C9" s="104"/>
      <c r="D9" s="104"/>
      <c r="E9" s="104"/>
      <c r="F9" s="104"/>
      <c r="G9" s="104"/>
      <c r="H9" s="104"/>
    </row>
    <row r="10" spans="1:41" s="50" customFormat="1" ht="16.5" x14ac:dyDescent="0.3">
      <c r="A10" s="111" t="s">
        <v>306</v>
      </c>
      <c r="B10" s="112" t="s">
        <v>310</v>
      </c>
      <c r="C10" s="112" t="s">
        <v>1</v>
      </c>
      <c r="D10" s="112" t="s">
        <v>2</v>
      </c>
      <c r="E10" s="112" t="s">
        <v>48</v>
      </c>
      <c r="F10" s="112" t="s">
        <v>309</v>
      </c>
      <c r="G10" s="112" t="s">
        <v>308</v>
      </c>
      <c r="H10" s="112" t="s">
        <v>311</v>
      </c>
      <c r="O10" s="13" t="s">
        <v>310</v>
      </c>
      <c r="P10" s="108" t="s">
        <v>1</v>
      </c>
      <c r="Q10" s="108" t="s">
        <v>2</v>
      </c>
      <c r="R10" s="61" t="s">
        <v>48</v>
      </c>
      <c r="S10" s="61" t="s">
        <v>309</v>
      </c>
      <c r="T10" s="61" t="s">
        <v>308</v>
      </c>
      <c r="U10" s="61" t="s">
        <v>311</v>
      </c>
      <c r="V10"/>
      <c r="W10"/>
      <c r="X10"/>
    </row>
    <row r="11" spans="1:41" s="50" customFormat="1" ht="16.5" x14ac:dyDescent="0.3">
      <c r="A11" s="109" t="str">
        <f t="shared" ref="A11:A42" si="0">"N6"</f>
        <v>N6</v>
      </c>
      <c r="B11" s="66">
        <v>202113</v>
      </c>
      <c r="C11" s="66" t="s">
        <v>228</v>
      </c>
      <c r="D11" s="66" t="s">
        <v>284</v>
      </c>
      <c r="E11" s="107">
        <v>8</v>
      </c>
      <c r="F11" s="107">
        <v>280</v>
      </c>
      <c r="G11" s="107"/>
      <c r="H11" s="107">
        <v>280</v>
      </c>
      <c r="O11" s="66">
        <v>202113</v>
      </c>
      <c r="P11" s="66" t="s">
        <v>228</v>
      </c>
      <c r="Q11" s="66" t="s">
        <v>284</v>
      </c>
      <c r="R11" s="107">
        <v>8</v>
      </c>
      <c r="S11" s="107">
        <v>280</v>
      </c>
      <c r="T11" s="107"/>
      <c r="U11" s="107">
        <v>280</v>
      </c>
      <c r="V11"/>
      <c r="W11"/>
      <c r="X11"/>
    </row>
    <row r="12" spans="1:41" s="50" customFormat="1" ht="16.5" x14ac:dyDescent="0.3">
      <c r="A12" s="109" t="str">
        <f t="shared" si="0"/>
        <v>N6</v>
      </c>
      <c r="B12" s="66">
        <v>202120</v>
      </c>
      <c r="C12" s="66" t="s">
        <v>229</v>
      </c>
      <c r="D12" s="66" t="s">
        <v>283</v>
      </c>
      <c r="E12" s="107">
        <v>2</v>
      </c>
      <c r="F12" s="107">
        <v>100</v>
      </c>
      <c r="G12" s="107"/>
      <c r="H12" s="107">
        <v>100</v>
      </c>
      <c r="O12" s="66">
        <v>202120</v>
      </c>
      <c r="P12" s="66" t="s">
        <v>229</v>
      </c>
      <c r="Q12" s="66" t="s">
        <v>283</v>
      </c>
      <c r="R12" s="107">
        <v>2</v>
      </c>
      <c r="S12" s="107">
        <v>100</v>
      </c>
      <c r="T12" s="107"/>
      <c r="U12" s="107">
        <v>100</v>
      </c>
      <c r="V12"/>
      <c r="W12"/>
      <c r="X12"/>
    </row>
    <row r="13" spans="1:41" s="50" customFormat="1" ht="16.5" x14ac:dyDescent="0.3">
      <c r="A13" s="109" t="str">
        <f t="shared" si="0"/>
        <v>N6</v>
      </c>
      <c r="B13" s="66">
        <v>202121</v>
      </c>
      <c r="C13" s="66" t="s">
        <v>230</v>
      </c>
      <c r="D13" s="66" t="s">
        <v>283</v>
      </c>
      <c r="E13" s="107">
        <v>7</v>
      </c>
      <c r="F13" s="107">
        <v>275</v>
      </c>
      <c r="G13" s="107"/>
      <c r="H13" s="107">
        <v>275</v>
      </c>
      <c r="O13" s="66">
        <v>202121</v>
      </c>
      <c r="P13" s="66" t="s">
        <v>230</v>
      </c>
      <c r="Q13" s="66" t="s">
        <v>283</v>
      </c>
      <c r="R13" s="107">
        <v>7</v>
      </c>
      <c r="S13" s="107">
        <v>275</v>
      </c>
      <c r="T13" s="107"/>
      <c r="U13" s="107">
        <v>275</v>
      </c>
      <c r="V13"/>
      <c r="W13"/>
      <c r="X13"/>
    </row>
    <row r="14" spans="1:41" s="50" customFormat="1" ht="15" x14ac:dyDescent="0.25">
      <c r="A14" s="128" t="str">
        <f t="shared" si="0"/>
        <v>N6</v>
      </c>
      <c r="B14" s="66">
        <v>202191</v>
      </c>
      <c r="C14" s="66" t="s">
        <v>65</v>
      </c>
      <c r="D14" s="66" t="s">
        <v>280</v>
      </c>
      <c r="E14" s="107">
        <v>11</v>
      </c>
      <c r="F14" s="107">
        <v>265</v>
      </c>
      <c r="G14" s="107">
        <v>720</v>
      </c>
      <c r="H14" s="107">
        <v>985</v>
      </c>
      <c r="O14" s="66">
        <v>202191</v>
      </c>
      <c r="P14" s="66" t="s">
        <v>65</v>
      </c>
      <c r="Q14" s="66" t="s">
        <v>280</v>
      </c>
      <c r="R14" s="107">
        <v>11</v>
      </c>
      <c r="S14" s="107">
        <v>265</v>
      </c>
      <c r="T14" s="107">
        <v>720</v>
      </c>
      <c r="U14" s="107">
        <v>985</v>
      </c>
      <c r="V14"/>
      <c r="W14"/>
      <c r="X14"/>
    </row>
    <row r="15" spans="1:41" s="7" customFormat="1" ht="15.75" x14ac:dyDescent="0.25">
      <c r="A15" s="105" t="str">
        <f t="shared" si="0"/>
        <v>N6</v>
      </c>
      <c r="B15" s="66">
        <v>202280</v>
      </c>
      <c r="C15" s="66" t="s">
        <v>232</v>
      </c>
      <c r="D15" s="66" t="s">
        <v>282</v>
      </c>
      <c r="E15" s="107">
        <v>5</v>
      </c>
      <c r="F15" s="107">
        <v>175</v>
      </c>
      <c r="G15" s="107"/>
      <c r="H15" s="107">
        <v>175</v>
      </c>
      <c r="O15" s="66">
        <v>202280</v>
      </c>
      <c r="P15" s="66" t="s">
        <v>232</v>
      </c>
      <c r="Q15" s="66" t="s">
        <v>282</v>
      </c>
      <c r="R15" s="107">
        <v>5</v>
      </c>
      <c r="S15" s="107">
        <v>175</v>
      </c>
      <c r="T15" s="107"/>
      <c r="U15" s="107">
        <v>175</v>
      </c>
      <c r="V15"/>
      <c r="W15"/>
      <c r="X15"/>
    </row>
    <row r="16" spans="1:41" s="7" customFormat="1" ht="15.75" x14ac:dyDescent="0.25">
      <c r="A16" s="105" t="str">
        <f t="shared" si="0"/>
        <v>N6</v>
      </c>
      <c r="B16" s="66">
        <v>203339</v>
      </c>
      <c r="C16" s="66" t="s">
        <v>70</v>
      </c>
      <c r="D16" s="66" t="s">
        <v>277</v>
      </c>
      <c r="E16" s="107">
        <v>4</v>
      </c>
      <c r="F16" s="107">
        <v>200</v>
      </c>
      <c r="G16" s="107"/>
      <c r="H16" s="107">
        <v>200</v>
      </c>
      <c r="O16" s="66">
        <v>203339</v>
      </c>
      <c r="P16" s="66" t="s">
        <v>70</v>
      </c>
      <c r="Q16" s="66" t="s">
        <v>277</v>
      </c>
      <c r="R16" s="107">
        <v>4</v>
      </c>
      <c r="S16" s="107">
        <v>200</v>
      </c>
      <c r="T16" s="107"/>
      <c r="U16" s="107">
        <v>200</v>
      </c>
      <c r="V16"/>
      <c r="W16"/>
      <c r="X16"/>
    </row>
    <row r="17" spans="1:24" s="7" customFormat="1" ht="15.75" x14ac:dyDescent="0.25">
      <c r="A17" s="105" t="str">
        <f t="shared" si="0"/>
        <v>N6</v>
      </c>
      <c r="B17" s="66">
        <v>203391</v>
      </c>
      <c r="C17" s="66" t="s">
        <v>77</v>
      </c>
      <c r="D17" s="66" t="s">
        <v>280</v>
      </c>
      <c r="E17" s="107">
        <v>7</v>
      </c>
      <c r="F17" s="107">
        <v>325</v>
      </c>
      <c r="G17" s="107">
        <v>240</v>
      </c>
      <c r="H17" s="107">
        <v>565</v>
      </c>
      <c r="O17" s="66">
        <v>203391</v>
      </c>
      <c r="P17" s="66" t="s">
        <v>77</v>
      </c>
      <c r="Q17" s="66" t="s">
        <v>280</v>
      </c>
      <c r="R17" s="107">
        <v>7</v>
      </c>
      <c r="S17" s="107">
        <v>325</v>
      </c>
      <c r="T17" s="107">
        <v>240</v>
      </c>
      <c r="U17" s="107">
        <v>565</v>
      </c>
      <c r="V17"/>
      <c r="W17"/>
      <c r="X17"/>
    </row>
    <row r="18" spans="1:24" ht="15.75" x14ac:dyDescent="0.25">
      <c r="A18" s="105" t="str">
        <f t="shared" si="0"/>
        <v>N6</v>
      </c>
      <c r="B18" s="66">
        <v>203394</v>
      </c>
      <c r="C18" s="66" t="s">
        <v>235</v>
      </c>
      <c r="D18" s="66" t="s">
        <v>282</v>
      </c>
      <c r="E18" s="107">
        <v>6</v>
      </c>
      <c r="F18" s="107">
        <v>210</v>
      </c>
      <c r="G18" s="107"/>
      <c r="H18" s="107">
        <v>210</v>
      </c>
      <c r="I18" s="7"/>
      <c r="O18" s="66">
        <v>203394</v>
      </c>
      <c r="P18" s="66" t="s">
        <v>235</v>
      </c>
      <c r="Q18" s="66" t="s">
        <v>282</v>
      </c>
      <c r="R18" s="107">
        <v>6</v>
      </c>
      <c r="S18" s="107">
        <v>210</v>
      </c>
      <c r="T18" s="107"/>
      <c r="U18" s="107">
        <v>210</v>
      </c>
      <c r="V18"/>
      <c r="W18"/>
      <c r="X18"/>
    </row>
    <row r="19" spans="1:24" ht="15.75" x14ac:dyDescent="0.25">
      <c r="A19" s="105" t="str">
        <f t="shared" si="0"/>
        <v>N6</v>
      </c>
      <c r="B19" s="66">
        <v>203428</v>
      </c>
      <c r="C19" s="66" t="s">
        <v>79</v>
      </c>
      <c r="D19" s="66" t="s">
        <v>277</v>
      </c>
      <c r="E19" s="107">
        <v>10</v>
      </c>
      <c r="F19" s="107">
        <v>350</v>
      </c>
      <c r="G19" s="107"/>
      <c r="H19" s="107">
        <v>350</v>
      </c>
      <c r="I19" s="7"/>
      <c r="O19" s="66">
        <v>203428</v>
      </c>
      <c r="P19" s="66" t="s">
        <v>79</v>
      </c>
      <c r="Q19" s="66" t="s">
        <v>277</v>
      </c>
      <c r="R19" s="107">
        <v>10</v>
      </c>
      <c r="S19" s="107">
        <v>350</v>
      </c>
      <c r="T19" s="107"/>
      <c r="U19" s="107">
        <v>350</v>
      </c>
      <c r="V19"/>
      <c r="W19"/>
      <c r="X19"/>
    </row>
    <row r="20" spans="1:24" ht="15.75" x14ac:dyDescent="0.25">
      <c r="A20" s="105" t="str">
        <f t="shared" si="0"/>
        <v>N6</v>
      </c>
      <c r="B20" s="66">
        <v>203469</v>
      </c>
      <c r="C20" s="66" t="s">
        <v>144</v>
      </c>
      <c r="D20" s="66" t="s">
        <v>280</v>
      </c>
      <c r="E20" s="107">
        <v>2</v>
      </c>
      <c r="F20" s="107">
        <v>70</v>
      </c>
      <c r="G20" s="107"/>
      <c r="H20" s="107">
        <v>70</v>
      </c>
      <c r="O20" s="66">
        <v>203469</v>
      </c>
      <c r="P20" s="66" t="s">
        <v>144</v>
      </c>
      <c r="Q20" s="66" t="s">
        <v>280</v>
      </c>
      <c r="R20" s="107">
        <v>2</v>
      </c>
      <c r="S20" s="107">
        <v>70</v>
      </c>
      <c r="T20" s="107"/>
      <c r="U20" s="107">
        <v>70</v>
      </c>
      <c r="V20"/>
      <c r="W20"/>
      <c r="X20"/>
    </row>
    <row r="21" spans="1:24" ht="15.75" x14ac:dyDescent="0.25">
      <c r="A21" s="105" t="str">
        <f t="shared" si="0"/>
        <v>N6</v>
      </c>
      <c r="B21" s="66">
        <v>203609</v>
      </c>
      <c r="C21" s="66" t="s">
        <v>200</v>
      </c>
      <c r="D21" s="66" t="s">
        <v>277</v>
      </c>
      <c r="E21" s="107">
        <v>2</v>
      </c>
      <c r="F21" s="107">
        <v>100</v>
      </c>
      <c r="G21" s="107"/>
      <c r="H21" s="107">
        <v>100</v>
      </c>
      <c r="O21" s="66">
        <v>203609</v>
      </c>
      <c r="P21" s="66" t="s">
        <v>200</v>
      </c>
      <c r="Q21" s="66" t="s">
        <v>277</v>
      </c>
      <c r="R21" s="107">
        <v>2</v>
      </c>
      <c r="S21" s="107">
        <v>100</v>
      </c>
      <c r="T21" s="107"/>
      <c r="U21" s="107">
        <v>100</v>
      </c>
      <c r="V21"/>
      <c r="W21"/>
      <c r="X21"/>
    </row>
    <row r="22" spans="1:24" ht="15.75" x14ac:dyDescent="0.25">
      <c r="A22" s="105" t="str">
        <f t="shared" si="0"/>
        <v>N6</v>
      </c>
      <c r="B22" s="66">
        <v>203689</v>
      </c>
      <c r="C22" s="66" t="s">
        <v>176</v>
      </c>
      <c r="D22" s="66" t="s">
        <v>280</v>
      </c>
      <c r="E22" s="107">
        <v>2</v>
      </c>
      <c r="F22" s="107">
        <v>130</v>
      </c>
      <c r="G22" s="107"/>
      <c r="H22" s="107">
        <v>130</v>
      </c>
      <c r="O22" s="66">
        <v>203689</v>
      </c>
      <c r="P22" s="66" t="s">
        <v>176</v>
      </c>
      <c r="Q22" s="66" t="s">
        <v>280</v>
      </c>
      <c r="R22" s="107">
        <v>2</v>
      </c>
      <c r="S22" s="107">
        <v>130</v>
      </c>
      <c r="T22" s="107"/>
      <c r="U22" s="107">
        <v>130</v>
      </c>
      <c r="V22"/>
      <c r="W22"/>
      <c r="X22"/>
    </row>
    <row r="23" spans="1:24" ht="15" x14ac:dyDescent="0.25">
      <c r="A23" s="103" t="str">
        <f t="shared" si="0"/>
        <v>N6</v>
      </c>
      <c r="B23" s="66">
        <v>204108</v>
      </c>
      <c r="C23" s="66" t="s">
        <v>243</v>
      </c>
      <c r="D23" s="66" t="s">
        <v>282</v>
      </c>
      <c r="E23" s="107">
        <v>2</v>
      </c>
      <c r="F23" s="107">
        <v>100</v>
      </c>
      <c r="G23" s="107"/>
      <c r="H23" s="107">
        <v>100</v>
      </c>
      <c r="O23" s="66">
        <v>204108</v>
      </c>
      <c r="P23" s="66" t="s">
        <v>243</v>
      </c>
      <c r="Q23" s="66" t="s">
        <v>282</v>
      </c>
      <c r="R23" s="107">
        <v>2</v>
      </c>
      <c r="S23" s="107">
        <v>100</v>
      </c>
      <c r="T23" s="107"/>
      <c r="U23" s="107">
        <v>100</v>
      </c>
      <c r="V23"/>
      <c r="W23"/>
      <c r="X23"/>
    </row>
    <row r="24" spans="1:24" ht="15" x14ac:dyDescent="0.25">
      <c r="A24" s="103" t="str">
        <f t="shared" si="0"/>
        <v>N6</v>
      </c>
      <c r="B24" s="66">
        <v>204112</v>
      </c>
      <c r="C24" s="66" t="s">
        <v>101</v>
      </c>
      <c r="D24" s="66" t="s">
        <v>283</v>
      </c>
      <c r="E24" s="107">
        <v>10</v>
      </c>
      <c r="F24" s="107">
        <v>350</v>
      </c>
      <c r="G24" s="107"/>
      <c r="H24" s="107">
        <v>350</v>
      </c>
      <c r="O24" s="66">
        <v>204112</v>
      </c>
      <c r="P24" s="66" t="s">
        <v>101</v>
      </c>
      <c r="Q24" s="66" t="s">
        <v>283</v>
      </c>
      <c r="R24" s="107">
        <v>10</v>
      </c>
      <c r="S24" s="107">
        <v>350</v>
      </c>
      <c r="T24" s="107"/>
      <c r="U24" s="107">
        <v>350</v>
      </c>
      <c r="V24"/>
      <c r="W24"/>
      <c r="X24"/>
    </row>
    <row r="25" spans="1:24" ht="15" x14ac:dyDescent="0.25">
      <c r="A25" s="103" t="str">
        <f t="shared" si="0"/>
        <v>N6</v>
      </c>
      <c r="B25" s="66">
        <v>204118</v>
      </c>
      <c r="C25" s="66" t="s">
        <v>246</v>
      </c>
      <c r="D25" s="66" t="s">
        <v>280</v>
      </c>
      <c r="E25" s="107">
        <v>9</v>
      </c>
      <c r="F25" s="107">
        <v>315</v>
      </c>
      <c r="G25" s="107"/>
      <c r="H25" s="107">
        <v>315</v>
      </c>
      <c r="O25" s="66">
        <v>204118</v>
      </c>
      <c r="P25" s="66" t="s">
        <v>246</v>
      </c>
      <c r="Q25" s="66" t="s">
        <v>280</v>
      </c>
      <c r="R25" s="107">
        <v>9</v>
      </c>
      <c r="S25" s="107">
        <v>315</v>
      </c>
      <c r="T25" s="107"/>
      <c r="U25" s="107">
        <v>315</v>
      </c>
      <c r="V25"/>
      <c r="W25"/>
      <c r="X25"/>
    </row>
    <row r="26" spans="1:24" ht="15" x14ac:dyDescent="0.25">
      <c r="A26" s="103" t="str">
        <f t="shared" si="0"/>
        <v>N6</v>
      </c>
      <c r="B26" s="66">
        <v>204119</v>
      </c>
      <c r="C26" s="66" t="s">
        <v>103</v>
      </c>
      <c r="D26" s="66" t="s">
        <v>280</v>
      </c>
      <c r="E26" s="107">
        <v>12</v>
      </c>
      <c r="F26" s="107">
        <v>135</v>
      </c>
      <c r="G26" s="107">
        <v>1080</v>
      </c>
      <c r="H26" s="107">
        <v>1215</v>
      </c>
      <c r="O26" s="66">
        <v>204119</v>
      </c>
      <c r="P26" s="66" t="s">
        <v>103</v>
      </c>
      <c r="Q26" s="66" t="s">
        <v>280</v>
      </c>
      <c r="R26" s="107">
        <v>12</v>
      </c>
      <c r="S26" s="107">
        <v>135</v>
      </c>
      <c r="T26" s="107">
        <v>1080</v>
      </c>
      <c r="U26" s="107">
        <v>1215</v>
      </c>
      <c r="V26"/>
      <c r="W26"/>
      <c r="X26"/>
    </row>
    <row r="27" spans="1:24" ht="15" x14ac:dyDescent="0.25">
      <c r="A27" s="103" t="str">
        <f t="shared" si="0"/>
        <v>N6</v>
      </c>
      <c r="B27" s="66">
        <v>204136</v>
      </c>
      <c r="C27" s="66" t="s">
        <v>105</v>
      </c>
      <c r="D27" s="66" t="s">
        <v>280</v>
      </c>
      <c r="E27" s="107">
        <v>5</v>
      </c>
      <c r="F27" s="107">
        <v>205</v>
      </c>
      <c r="G27" s="107"/>
      <c r="H27" s="107">
        <v>205</v>
      </c>
      <c r="O27" s="66">
        <v>204136</v>
      </c>
      <c r="P27" s="66" t="s">
        <v>105</v>
      </c>
      <c r="Q27" s="66" t="s">
        <v>280</v>
      </c>
      <c r="R27" s="107">
        <v>5</v>
      </c>
      <c r="S27" s="107">
        <v>205</v>
      </c>
      <c r="T27" s="107"/>
      <c r="U27" s="107">
        <v>205</v>
      </c>
      <c r="V27"/>
      <c r="W27"/>
      <c r="X27"/>
    </row>
    <row r="28" spans="1:24" ht="15" x14ac:dyDescent="0.25">
      <c r="A28" s="103" t="str">
        <f t="shared" si="0"/>
        <v>N6</v>
      </c>
      <c r="B28" s="66">
        <v>204854</v>
      </c>
      <c r="C28" s="66" t="s">
        <v>248</v>
      </c>
      <c r="D28" s="66" t="s">
        <v>282</v>
      </c>
      <c r="E28" s="107">
        <v>10</v>
      </c>
      <c r="F28" s="107">
        <v>350</v>
      </c>
      <c r="G28" s="107"/>
      <c r="H28" s="107">
        <v>350</v>
      </c>
      <c r="O28" s="66">
        <v>204854</v>
      </c>
      <c r="P28" s="66" t="s">
        <v>248</v>
      </c>
      <c r="Q28" s="66" t="s">
        <v>282</v>
      </c>
      <c r="R28" s="107">
        <v>10</v>
      </c>
      <c r="S28" s="107">
        <v>350</v>
      </c>
      <c r="T28" s="107"/>
      <c r="U28" s="107">
        <v>350</v>
      </c>
      <c r="V28"/>
      <c r="W28"/>
      <c r="X28"/>
    </row>
    <row r="29" spans="1:24" ht="15" x14ac:dyDescent="0.25">
      <c r="A29" s="103" t="str">
        <f t="shared" si="0"/>
        <v>N6</v>
      </c>
      <c r="B29" s="66">
        <v>206966</v>
      </c>
      <c r="C29" s="66" t="s">
        <v>251</v>
      </c>
      <c r="D29" s="66" t="s">
        <v>283</v>
      </c>
      <c r="E29" s="107">
        <v>3</v>
      </c>
      <c r="F29" s="107">
        <v>195</v>
      </c>
      <c r="G29" s="107"/>
      <c r="H29" s="107">
        <v>195</v>
      </c>
      <c r="O29" s="66">
        <v>206966</v>
      </c>
      <c r="P29" s="66" t="s">
        <v>251</v>
      </c>
      <c r="Q29" s="66" t="s">
        <v>283</v>
      </c>
      <c r="R29" s="107">
        <v>3</v>
      </c>
      <c r="S29" s="107">
        <v>195</v>
      </c>
      <c r="T29" s="107"/>
      <c r="U29" s="107">
        <v>195</v>
      </c>
      <c r="V29"/>
      <c r="W29"/>
      <c r="X29"/>
    </row>
    <row r="30" spans="1:24" ht="15" x14ac:dyDescent="0.25">
      <c r="A30" s="103" t="str">
        <f t="shared" si="0"/>
        <v>N6</v>
      </c>
      <c r="B30" s="66">
        <v>206970</v>
      </c>
      <c r="C30" s="66" t="s">
        <v>252</v>
      </c>
      <c r="D30" s="66" t="s">
        <v>283</v>
      </c>
      <c r="E30" s="107">
        <v>9</v>
      </c>
      <c r="F30" s="107">
        <v>315</v>
      </c>
      <c r="G30" s="107"/>
      <c r="H30" s="107">
        <v>315</v>
      </c>
      <c r="O30" s="66">
        <v>206970</v>
      </c>
      <c r="P30" s="66" t="s">
        <v>252</v>
      </c>
      <c r="Q30" s="66" t="s">
        <v>283</v>
      </c>
      <c r="R30" s="107">
        <v>9</v>
      </c>
      <c r="S30" s="107">
        <v>315</v>
      </c>
      <c r="T30" s="107"/>
      <c r="U30" s="107">
        <v>315</v>
      </c>
      <c r="V30"/>
      <c r="W30"/>
      <c r="X30"/>
    </row>
    <row r="31" spans="1:24" ht="15" x14ac:dyDescent="0.25">
      <c r="A31" s="103" t="str">
        <f t="shared" si="0"/>
        <v>N6</v>
      </c>
      <c r="B31" s="66">
        <v>206971</v>
      </c>
      <c r="C31" s="66" t="s">
        <v>253</v>
      </c>
      <c r="D31" s="66" t="s">
        <v>282</v>
      </c>
      <c r="E31" s="107">
        <v>2</v>
      </c>
      <c r="F31" s="107">
        <v>130</v>
      </c>
      <c r="G31" s="107"/>
      <c r="H31" s="107">
        <v>130</v>
      </c>
      <c r="O31" s="66">
        <v>206971</v>
      </c>
      <c r="P31" s="66" t="s">
        <v>253</v>
      </c>
      <c r="Q31" s="66" t="s">
        <v>282</v>
      </c>
      <c r="R31" s="107">
        <v>2</v>
      </c>
      <c r="S31" s="107">
        <v>130</v>
      </c>
      <c r="T31" s="107"/>
      <c r="U31" s="107">
        <v>130</v>
      </c>
      <c r="V31"/>
      <c r="W31"/>
      <c r="X31"/>
    </row>
    <row r="32" spans="1:24" ht="15" x14ac:dyDescent="0.25">
      <c r="A32" s="103" t="str">
        <f t="shared" si="0"/>
        <v>N6</v>
      </c>
      <c r="B32" s="66">
        <v>206988</v>
      </c>
      <c r="C32" s="66" t="s">
        <v>254</v>
      </c>
      <c r="D32" s="66" t="s">
        <v>282</v>
      </c>
      <c r="E32" s="107">
        <v>10</v>
      </c>
      <c r="F32" s="107">
        <v>350</v>
      </c>
      <c r="G32" s="107"/>
      <c r="H32" s="107">
        <v>350</v>
      </c>
      <c r="O32" s="66">
        <v>206988</v>
      </c>
      <c r="P32" s="66" t="s">
        <v>254</v>
      </c>
      <c r="Q32" s="66" t="s">
        <v>282</v>
      </c>
      <c r="R32" s="107">
        <v>10</v>
      </c>
      <c r="S32" s="107">
        <v>350</v>
      </c>
      <c r="T32" s="107"/>
      <c r="U32" s="107">
        <v>350</v>
      </c>
      <c r="V32"/>
      <c r="W32"/>
      <c r="X32"/>
    </row>
    <row r="33" spans="1:24" ht="15" x14ac:dyDescent="0.25">
      <c r="A33" s="103" t="str">
        <f t="shared" si="0"/>
        <v>N6</v>
      </c>
      <c r="B33" s="66">
        <v>207318</v>
      </c>
      <c r="C33" s="66" t="s">
        <v>177</v>
      </c>
      <c r="D33" s="66" t="s">
        <v>277</v>
      </c>
      <c r="E33" s="107">
        <v>5</v>
      </c>
      <c r="F33" s="107">
        <v>265</v>
      </c>
      <c r="G33" s="107"/>
      <c r="H33" s="107">
        <v>265</v>
      </c>
      <c r="O33" s="66">
        <v>207318</v>
      </c>
      <c r="P33" s="66" t="s">
        <v>177</v>
      </c>
      <c r="Q33" s="66" t="s">
        <v>277</v>
      </c>
      <c r="R33" s="107">
        <v>5</v>
      </c>
      <c r="S33" s="107">
        <v>265</v>
      </c>
      <c r="T33" s="107"/>
      <c r="U33" s="107">
        <v>265</v>
      </c>
      <c r="V33"/>
      <c r="W33"/>
      <c r="X33"/>
    </row>
    <row r="34" spans="1:24" ht="15" x14ac:dyDescent="0.25">
      <c r="A34" s="103" t="str">
        <f t="shared" ref="A34:A38" si="1">"N6"</f>
        <v>N6</v>
      </c>
      <c r="B34" s="66">
        <v>208243</v>
      </c>
      <c r="C34" s="66" t="s">
        <v>255</v>
      </c>
      <c r="D34" s="66" t="s">
        <v>282</v>
      </c>
      <c r="E34" s="107">
        <v>4</v>
      </c>
      <c r="F34" s="107">
        <v>140</v>
      </c>
      <c r="G34" s="107"/>
      <c r="H34" s="107">
        <v>140</v>
      </c>
      <c r="O34" s="66">
        <v>208243</v>
      </c>
      <c r="P34" s="66" t="s">
        <v>255</v>
      </c>
      <c r="Q34" s="66" t="s">
        <v>282</v>
      </c>
      <c r="R34" s="107">
        <v>4</v>
      </c>
      <c r="S34" s="107">
        <v>140</v>
      </c>
      <c r="T34" s="107"/>
      <c r="U34" s="107">
        <v>140</v>
      </c>
      <c r="V34"/>
      <c r="W34"/>
      <c r="X34"/>
    </row>
    <row r="35" spans="1:24" ht="15" x14ac:dyDescent="0.25">
      <c r="A35" s="103" t="str">
        <f t="shared" si="1"/>
        <v>N6</v>
      </c>
      <c r="B35" s="66">
        <v>208244</v>
      </c>
      <c r="C35" s="66" t="s">
        <v>256</v>
      </c>
      <c r="D35" s="66" t="s">
        <v>280</v>
      </c>
      <c r="E35" s="107">
        <v>13</v>
      </c>
      <c r="F35" s="107">
        <v>235</v>
      </c>
      <c r="G35" s="107">
        <v>960</v>
      </c>
      <c r="H35" s="107">
        <v>1195</v>
      </c>
      <c r="O35" s="66">
        <v>208244</v>
      </c>
      <c r="P35" s="66" t="s">
        <v>256</v>
      </c>
      <c r="Q35" s="66" t="s">
        <v>280</v>
      </c>
      <c r="R35" s="107">
        <v>13</v>
      </c>
      <c r="S35" s="107">
        <v>235</v>
      </c>
      <c r="T35" s="107">
        <v>960</v>
      </c>
      <c r="U35" s="107">
        <v>1195</v>
      </c>
      <c r="V35"/>
      <c r="W35"/>
      <c r="X35"/>
    </row>
    <row r="36" spans="1:24" ht="15" x14ac:dyDescent="0.25">
      <c r="A36" s="103" t="str">
        <f t="shared" si="1"/>
        <v>N6</v>
      </c>
      <c r="B36" s="66">
        <v>208496</v>
      </c>
      <c r="C36" s="66" t="s">
        <v>201</v>
      </c>
      <c r="D36" s="66" t="s">
        <v>277</v>
      </c>
      <c r="E36" s="107">
        <v>3</v>
      </c>
      <c r="F36" s="107">
        <v>135</v>
      </c>
      <c r="G36" s="107"/>
      <c r="H36" s="107">
        <v>135</v>
      </c>
      <c r="O36" s="66">
        <v>208496</v>
      </c>
      <c r="P36" s="66" t="s">
        <v>201</v>
      </c>
      <c r="Q36" s="66" t="s">
        <v>277</v>
      </c>
      <c r="R36" s="107">
        <v>3</v>
      </c>
      <c r="S36" s="107">
        <v>135</v>
      </c>
      <c r="T36" s="107"/>
      <c r="U36" s="107">
        <v>135</v>
      </c>
      <c r="V36"/>
      <c r="W36"/>
      <c r="X36"/>
    </row>
    <row r="37" spans="1:24" ht="15" x14ac:dyDescent="0.25">
      <c r="A37" s="103" t="str">
        <f t="shared" si="1"/>
        <v>N6</v>
      </c>
      <c r="B37" s="66">
        <v>208966</v>
      </c>
      <c r="C37" s="66" t="s">
        <v>257</v>
      </c>
      <c r="D37" s="66" t="s">
        <v>282</v>
      </c>
      <c r="E37" s="107">
        <v>2</v>
      </c>
      <c r="F37" s="107">
        <v>70</v>
      </c>
      <c r="G37" s="107"/>
      <c r="H37" s="107">
        <v>70</v>
      </c>
      <c r="O37" s="66">
        <v>208966</v>
      </c>
      <c r="P37" s="66" t="s">
        <v>257</v>
      </c>
      <c r="Q37" s="66" t="s">
        <v>282</v>
      </c>
      <c r="R37" s="107">
        <v>2</v>
      </c>
      <c r="S37" s="107">
        <v>70</v>
      </c>
      <c r="T37" s="107"/>
      <c r="U37" s="107">
        <v>70</v>
      </c>
      <c r="V37"/>
      <c r="W37"/>
      <c r="X37"/>
    </row>
    <row r="38" spans="1:24" ht="15" x14ac:dyDescent="0.25">
      <c r="A38" s="103" t="str">
        <f t="shared" si="1"/>
        <v>N6</v>
      </c>
      <c r="B38" s="66">
        <v>209398</v>
      </c>
      <c r="C38" s="66" t="s">
        <v>115</v>
      </c>
      <c r="D38" s="66" t="s">
        <v>277</v>
      </c>
      <c r="E38" s="107">
        <v>6</v>
      </c>
      <c r="F38" s="107">
        <v>210</v>
      </c>
      <c r="G38" s="107"/>
      <c r="H38" s="107">
        <v>210</v>
      </c>
      <c r="O38" s="66">
        <v>209398</v>
      </c>
      <c r="P38" s="66" t="s">
        <v>115</v>
      </c>
      <c r="Q38" s="66" t="s">
        <v>277</v>
      </c>
      <c r="R38" s="107">
        <v>6</v>
      </c>
      <c r="S38" s="107">
        <v>210</v>
      </c>
      <c r="T38" s="107"/>
      <c r="U38" s="107">
        <v>210</v>
      </c>
      <c r="V38"/>
      <c r="W38"/>
      <c r="X38"/>
    </row>
    <row r="39" spans="1:24" ht="15" x14ac:dyDescent="0.25">
      <c r="A39" s="103" t="str">
        <f t="shared" si="0"/>
        <v>N6</v>
      </c>
      <c r="B39" s="66">
        <v>209730</v>
      </c>
      <c r="C39" s="66" t="s">
        <v>119</v>
      </c>
      <c r="D39" s="66" t="s">
        <v>280</v>
      </c>
      <c r="E39" s="107">
        <v>4</v>
      </c>
      <c r="F39" s="107">
        <v>170</v>
      </c>
      <c r="G39" s="107"/>
      <c r="H39" s="107">
        <v>170</v>
      </c>
      <c r="O39" s="66">
        <v>209730</v>
      </c>
      <c r="P39" s="66" t="s">
        <v>119</v>
      </c>
      <c r="Q39" s="66" t="s">
        <v>280</v>
      </c>
      <c r="R39" s="107">
        <v>4</v>
      </c>
      <c r="S39" s="107">
        <v>170</v>
      </c>
      <c r="T39" s="107"/>
      <c r="U39" s="107">
        <v>170</v>
      </c>
      <c r="V39"/>
      <c r="W39"/>
      <c r="X39"/>
    </row>
    <row r="40" spans="1:24" ht="15" x14ac:dyDescent="0.25">
      <c r="A40" s="103" t="str">
        <f t="shared" si="0"/>
        <v>N6</v>
      </c>
      <c r="B40" s="66">
        <v>209780</v>
      </c>
      <c r="C40" s="66" t="s">
        <v>259</v>
      </c>
      <c r="D40" s="66" t="s">
        <v>284</v>
      </c>
      <c r="E40" s="107">
        <v>10</v>
      </c>
      <c r="F40" s="107">
        <v>350</v>
      </c>
      <c r="G40" s="107"/>
      <c r="H40" s="107">
        <v>350</v>
      </c>
      <c r="O40" s="66">
        <v>209780</v>
      </c>
      <c r="P40" s="66" t="s">
        <v>259</v>
      </c>
      <c r="Q40" s="66" t="s">
        <v>284</v>
      </c>
      <c r="R40" s="107">
        <v>10</v>
      </c>
      <c r="S40" s="107">
        <v>350</v>
      </c>
      <c r="T40" s="107"/>
      <c r="U40" s="107">
        <v>350</v>
      </c>
      <c r="V40"/>
      <c r="W40"/>
      <c r="X40"/>
    </row>
    <row r="41" spans="1:24" ht="15" x14ac:dyDescent="0.25">
      <c r="A41" s="103" t="str">
        <f t="shared" si="0"/>
        <v>N6</v>
      </c>
      <c r="B41" s="66">
        <v>210345</v>
      </c>
      <c r="C41" s="66" t="s">
        <v>147</v>
      </c>
      <c r="D41" s="66" t="s">
        <v>277</v>
      </c>
      <c r="E41" s="107">
        <v>5</v>
      </c>
      <c r="F41" s="107">
        <v>205</v>
      </c>
      <c r="G41" s="107"/>
      <c r="H41" s="107">
        <v>205</v>
      </c>
      <c r="O41" s="66">
        <v>210345</v>
      </c>
      <c r="P41" s="66" t="s">
        <v>147</v>
      </c>
      <c r="Q41" s="66" t="s">
        <v>277</v>
      </c>
      <c r="R41" s="107">
        <v>5</v>
      </c>
      <c r="S41" s="107">
        <v>205</v>
      </c>
      <c r="T41" s="107"/>
      <c r="U41" s="107">
        <v>205</v>
      </c>
      <c r="V41"/>
      <c r="W41"/>
      <c r="X41"/>
    </row>
    <row r="42" spans="1:24" ht="15" x14ac:dyDescent="0.25">
      <c r="A42" s="103" t="str">
        <f t="shared" si="0"/>
        <v>N6</v>
      </c>
      <c r="B42" s="66">
        <v>210471</v>
      </c>
      <c r="C42" s="66" t="s">
        <v>148</v>
      </c>
      <c r="D42" s="66" t="s">
        <v>284</v>
      </c>
      <c r="E42" s="107">
        <v>10</v>
      </c>
      <c r="F42" s="107">
        <v>350</v>
      </c>
      <c r="G42" s="107"/>
      <c r="H42" s="107">
        <v>350</v>
      </c>
      <c r="O42" s="66">
        <v>210471</v>
      </c>
      <c r="P42" s="66" t="s">
        <v>148</v>
      </c>
      <c r="Q42" s="66" t="s">
        <v>284</v>
      </c>
      <c r="R42" s="107">
        <v>10</v>
      </c>
      <c r="S42" s="107">
        <v>350</v>
      </c>
      <c r="T42" s="107"/>
      <c r="U42" s="107">
        <v>350</v>
      </c>
      <c r="V42"/>
      <c r="W42"/>
      <c r="X42"/>
    </row>
    <row r="43" spans="1:24" ht="15" x14ac:dyDescent="0.25">
      <c r="A43" s="103" t="str">
        <f t="shared" ref="A43:A61" si="2">"N6"</f>
        <v>N6</v>
      </c>
      <c r="B43" s="66">
        <v>210787</v>
      </c>
      <c r="C43" s="66" t="s">
        <v>260</v>
      </c>
      <c r="D43" s="66" t="s">
        <v>277</v>
      </c>
      <c r="E43" s="107">
        <v>1</v>
      </c>
      <c r="F43" s="107">
        <v>35</v>
      </c>
      <c r="G43" s="107"/>
      <c r="H43" s="107">
        <v>35</v>
      </c>
      <c r="O43" s="66">
        <v>210787</v>
      </c>
      <c r="P43" s="66" t="s">
        <v>260</v>
      </c>
      <c r="Q43" s="66" t="s">
        <v>277</v>
      </c>
      <c r="R43" s="107">
        <v>1</v>
      </c>
      <c r="S43" s="107">
        <v>35</v>
      </c>
      <c r="T43" s="107"/>
      <c r="U43" s="107">
        <v>35</v>
      </c>
      <c r="V43"/>
      <c r="W43"/>
      <c r="X43"/>
    </row>
    <row r="44" spans="1:24" ht="15" x14ac:dyDescent="0.25">
      <c r="A44" s="103" t="str">
        <f t="shared" si="2"/>
        <v>N6</v>
      </c>
      <c r="B44" s="66">
        <v>211319</v>
      </c>
      <c r="C44" s="66" t="s">
        <v>149</v>
      </c>
      <c r="D44" s="66" t="s">
        <v>280</v>
      </c>
      <c r="E44" s="107">
        <v>3</v>
      </c>
      <c r="F44" s="107">
        <v>135</v>
      </c>
      <c r="G44" s="107"/>
      <c r="H44" s="107">
        <v>135</v>
      </c>
      <c r="O44" s="66">
        <v>211319</v>
      </c>
      <c r="P44" s="66" t="s">
        <v>149</v>
      </c>
      <c r="Q44" s="66" t="s">
        <v>280</v>
      </c>
      <c r="R44" s="107">
        <v>3</v>
      </c>
      <c r="S44" s="107">
        <v>135</v>
      </c>
      <c r="T44" s="107"/>
      <c r="U44" s="107">
        <v>135</v>
      </c>
      <c r="V44"/>
      <c r="W44"/>
      <c r="X44"/>
    </row>
    <row r="45" spans="1:24" ht="15" x14ac:dyDescent="0.25">
      <c r="A45" s="103" t="str">
        <f t="shared" si="2"/>
        <v>N6</v>
      </c>
      <c r="B45" s="66">
        <v>211419</v>
      </c>
      <c r="C45" s="66" t="s">
        <v>130</v>
      </c>
      <c r="D45" s="66" t="s">
        <v>286</v>
      </c>
      <c r="E45" s="107">
        <v>10</v>
      </c>
      <c r="F45" s="107">
        <v>350</v>
      </c>
      <c r="G45" s="107"/>
      <c r="H45" s="107">
        <v>350</v>
      </c>
      <c r="O45" s="66">
        <v>211419</v>
      </c>
      <c r="P45" s="66" t="s">
        <v>130</v>
      </c>
      <c r="Q45" s="66" t="s">
        <v>286</v>
      </c>
      <c r="R45" s="107">
        <v>10</v>
      </c>
      <c r="S45" s="107">
        <v>350</v>
      </c>
      <c r="T45" s="107"/>
      <c r="U45" s="107">
        <v>350</v>
      </c>
      <c r="V45"/>
      <c r="W45"/>
      <c r="X45"/>
    </row>
    <row r="46" spans="1:24" ht="15" x14ac:dyDescent="0.25">
      <c r="A46" s="103" t="str">
        <f t="shared" si="2"/>
        <v>N6</v>
      </c>
      <c r="B46" s="66">
        <v>211475</v>
      </c>
      <c r="C46" s="66" t="s">
        <v>173</v>
      </c>
      <c r="D46" s="66" t="s">
        <v>286</v>
      </c>
      <c r="E46" s="107">
        <v>10</v>
      </c>
      <c r="F46" s="107">
        <v>440</v>
      </c>
      <c r="G46" s="107"/>
      <c r="H46" s="107">
        <v>440</v>
      </c>
      <c r="O46" s="66">
        <v>211475</v>
      </c>
      <c r="P46" s="66" t="s">
        <v>173</v>
      </c>
      <c r="Q46" s="66" t="s">
        <v>286</v>
      </c>
      <c r="R46" s="107">
        <v>10</v>
      </c>
      <c r="S46" s="107">
        <v>440</v>
      </c>
      <c r="T46" s="107"/>
      <c r="U46" s="107">
        <v>440</v>
      </c>
      <c r="V46"/>
      <c r="W46"/>
      <c r="X46"/>
    </row>
    <row r="47" spans="1:24" ht="15" x14ac:dyDescent="0.25">
      <c r="A47" s="103" t="str">
        <f t="shared" si="2"/>
        <v>N6</v>
      </c>
      <c r="B47" s="66">
        <v>212187</v>
      </c>
      <c r="C47" s="66" t="s">
        <v>151</v>
      </c>
      <c r="D47" s="66" t="s">
        <v>280</v>
      </c>
      <c r="E47" s="107">
        <v>5</v>
      </c>
      <c r="F47" s="107">
        <v>165</v>
      </c>
      <c r="G47" s="107">
        <v>240</v>
      </c>
      <c r="H47" s="107">
        <v>405</v>
      </c>
      <c r="O47" s="66">
        <v>212187</v>
      </c>
      <c r="P47" s="66" t="s">
        <v>151</v>
      </c>
      <c r="Q47" s="66" t="s">
        <v>280</v>
      </c>
      <c r="R47" s="107">
        <v>5</v>
      </c>
      <c r="S47" s="107">
        <v>165</v>
      </c>
      <c r="T47" s="107">
        <v>240</v>
      </c>
      <c r="U47" s="107">
        <v>405</v>
      </c>
      <c r="V47"/>
      <c r="W47"/>
      <c r="X47"/>
    </row>
    <row r="48" spans="1:24" ht="15" x14ac:dyDescent="0.25">
      <c r="A48" s="103" t="str">
        <f t="shared" si="2"/>
        <v>N6</v>
      </c>
      <c r="B48" s="66">
        <v>212226</v>
      </c>
      <c r="C48" s="66" t="s">
        <v>155</v>
      </c>
      <c r="D48" s="66" t="s">
        <v>277</v>
      </c>
      <c r="E48" s="107">
        <v>1</v>
      </c>
      <c r="F48" s="107">
        <v>35</v>
      </c>
      <c r="G48" s="107"/>
      <c r="H48" s="107">
        <v>35</v>
      </c>
      <c r="O48" s="66">
        <v>212226</v>
      </c>
      <c r="P48" s="66" t="s">
        <v>155</v>
      </c>
      <c r="Q48" s="66" t="s">
        <v>277</v>
      </c>
      <c r="R48" s="107">
        <v>1</v>
      </c>
      <c r="S48" s="107">
        <v>35</v>
      </c>
      <c r="T48" s="107"/>
      <c r="U48" s="107">
        <v>35</v>
      </c>
      <c r="V48"/>
      <c r="W48"/>
      <c r="X48"/>
    </row>
    <row r="49" spans="1:50" ht="15" x14ac:dyDescent="0.25">
      <c r="A49" s="103" t="str">
        <f t="shared" si="2"/>
        <v>N6</v>
      </c>
      <c r="B49" s="66">
        <v>212244</v>
      </c>
      <c r="C49" s="66" t="s">
        <v>262</v>
      </c>
      <c r="D49" s="66" t="s">
        <v>284</v>
      </c>
      <c r="E49" s="107">
        <v>7</v>
      </c>
      <c r="F49" s="107">
        <v>245</v>
      </c>
      <c r="G49" s="107"/>
      <c r="H49" s="107">
        <v>245</v>
      </c>
      <c r="O49" s="66">
        <v>212244</v>
      </c>
      <c r="P49" s="66" t="s">
        <v>262</v>
      </c>
      <c r="Q49" s="66" t="s">
        <v>284</v>
      </c>
      <c r="R49" s="107">
        <v>7</v>
      </c>
      <c r="S49" s="107">
        <v>245</v>
      </c>
      <c r="T49" s="107"/>
      <c r="U49" s="107">
        <v>245</v>
      </c>
      <c r="V49"/>
      <c r="W49"/>
      <c r="X49"/>
    </row>
    <row r="50" spans="1:50" ht="15" x14ac:dyDescent="0.25">
      <c r="A50" s="103" t="str">
        <f t="shared" si="2"/>
        <v>N6</v>
      </c>
      <c r="B50" s="66">
        <v>212248</v>
      </c>
      <c r="C50" s="66" t="s">
        <v>263</v>
      </c>
      <c r="D50" s="66" t="s">
        <v>283</v>
      </c>
      <c r="E50" s="107">
        <v>10</v>
      </c>
      <c r="F50" s="107">
        <v>350</v>
      </c>
      <c r="G50" s="107"/>
      <c r="H50" s="107">
        <v>350</v>
      </c>
      <c r="O50" s="66">
        <v>212248</v>
      </c>
      <c r="P50" s="66" t="s">
        <v>263</v>
      </c>
      <c r="Q50" s="66" t="s">
        <v>283</v>
      </c>
      <c r="R50" s="107">
        <v>10</v>
      </c>
      <c r="S50" s="107">
        <v>350</v>
      </c>
      <c r="T50" s="107"/>
      <c r="U50" s="107">
        <v>350</v>
      </c>
      <c r="V50"/>
      <c r="W50"/>
      <c r="X50"/>
    </row>
    <row r="51" spans="1:50" ht="15" x14ac:dyDescent="0.25">
      <c r="A51" s="103" t="str">
        <f t="shared" si="2"/>
        <v>N6</v>
      </c>
      <c r="B51" s="66">
        <v>212314</v>
      </c>
      <c r="C51" s="66" t="s">
        <v>162</v>
      </c>
      <c r="D51" s="66" t="s">
        <v>280</v>
      </c>
      <c r="E51" s="107">
        <v>13</v>
      </c>
      <c r="F51" s="107">
        <v>230</v>
      </c>
      <c r="G51" s="107">
        <v>1080</v>
      </c>
      <c r="H51" s="107">
        <v>1310</v>
      </c>
      <c r="O51" s="66">
        <v>212314</v>
      </c>
      <c r="P51" s="66" t="s">
        <v>162</v>
      </c>
      <c r="Q51" s="66" t="s">
        <v>280</v>
      </c>
      <c r="R51" s="107">
        <v>13</v>
      </c>
      <c r="S51" s="107">
        <v>230</v>
      </c>
      <c r="T51" s="107">
        <v>1080</v>
      </c>
      <c r="U51" s="107">
        <v>1310</v>
      </c>
      <c r="V51"/>
      <c r="W51"/>
      <c r="X51"/>
    </row>
    <row r="52" spans="1:50" ht="15" x14ac:dyDescent="0.25">
      <c r="A52" s="103" t="str">
        <f t="shared" si="2"/>
        <v>N6</v>
      </c>
      <c r="B52" s="66">
        <v>212383</v>
      </c>
      <c r="C52" s="66" t="s">
        <v>208</v>
      </c>
      <c r="D52" s="66" t="s">
        <v>280</v>
      </c>
      <c r="E52" s="107">
        <v>7</v>
      </c>
      <c r="F52" s="107">
        <v>175</v>
      </c>
      <c r="G52" s="107">
        <v>240</v>
      </c>
      <c r="H52" s="107">
        <v>415</v>
      </c>
      <c r="O52" s="66">
        <v>212383</v>
      </c>
      <c r="P52" s="66" t="s">
        <v>208</v>
      </c>
      <c r="Q52" s="66" t="s">
        <v>280</v>
      </c>
      <c r="R52" s="107">
        <v>7</v>
      </c>
      <c r="S52" s="107">
        <v>175</v>
      </c>
      <c r="T52" s="107">
        <v>240</v>
      </c>
      <c r="U52" s="107">
        <v>415</v>
      </c>
      <c r="V52"/>
      <c r="W52"/>
      <c r="X52"/>
    </row>
    <row r="53" spans="1:50" ht="15" x14ac:dyDescent="0.25">
      <c r="A53" s="103" t="str">
        <f t="shared" si="2"/>
        <v>N6</v>
      </c>
      <c r="B53" s="66">
        <v>212407</v>
      </c>
      <c r="C53" s="66" t="s">
        <v>163</v>
      </c>
      <c r="D53" s="66" t="s">
        <v>280</v>
      </c>
      <c r="E53" s="107">
        <v>9</v>
      </c>
      <c r="F53" s="107">
        <v>315</v>
      </c>
      <c r="G53" s="107"/>
      <c r="H53" s="107">
        <v>315</v>
      </c>
      <c r="O53" s="66">
        <v>212407</v>
      </c>
      <c r="P53" s="66" t="s">
        <v>163</v>
      </c>
      <c r="Q53" s="66" t="s">
        <v>280</v>
      </c>
      <c r="R53" s="107">
        <v>9</v>
      </c>
      <c r="S53" s="107">
        <v>315</v>
      </c>
      <c r="T53" s="107"/>
      <c r="U53" s="107">
        <v>315</v>
      </c>
      <c r="V53"/>
      <c r="W53"/>
      <c r="X53"/>
    </row>
    <row r="54" spans="1:50" ht="15" x14ac:dyDescent="0.25">
      <c r="A54" s="103" t="str">
        <f t="shared" si="2"/>
        <v>N6</v>
      </c>
      <c r="B54" s="66">
        <v>212619</v>
      </c>
      <c r="C54" s="66" t="s">
        <v>175</v>
      </c>
      <c r="D54" s="66" t="s">
        <v>280</v>
      </c>
      <c r="E54" s="107">
        <v>1</v>
      </c>
      <c r="F54" s="107">
        <v>65</v>
      </c>
      <c r="G54" s="107"/>
      <c r="H54" s="107">
        <v>65</v>
      </c>
      <c r="O54" s="66">
        <v>212619</v>
      </c>
      <c r="P54" s="66" t="s">
        <v>175</v>
      </c>
      <c r="Q54" s="66" t="s">
        <v>280</v>
      </c>
      <c r="R54" s="107">
        <v>1</v>
      </c>
      <c r="S54" s="107">
        <v>65</v>
      </c>
      <c r="T54" s="107"/>
      <c r="U54" s="107">
        <v>65</v>
      </c>
      <c r="V54"/>
      <c r="W54"/>
      <c r="X54"/>
    </row>
    <row r="55" spans="1:50" ht="15" x14ac:dyDescent="0.25">
      <c r="A55" s="103" t="str">
        <f t="shared" si="2"/>
        <v>N6</v>
      </c>
      <c r="B55" s="66">
        <v>212620</v>
      </c>
      <c r="C55" s="66" t="s">
        <v>265</v>
      </c>
      <c r="D55" s="66" t="s">
        <v>280</v>
      </c>
      <c r="E55" s="107">
        <v>9</v>
      </c>
      <c r="F55" s="107">
        <v>0</v>
      </c>
      <c r="G55" s="107">
        <v>1080</v>
      </c>
      <c r="H55" s="107">
        <v>1080</v>
      </c>
      <c r="O55" s="66">
        <v>212620</v>
      </c>
      <c r="P55" s="66" t="s">
        <v>265</v>
      </c>
      <c r="Q55" s="66" t="s">
        <v>280</v>
      </c>
      <c r="R55" s="107">
        <v>9</v>
      </c>
      <c r="S55" s="107">
        <v>0</v>
      </c>
      <c r="T55" s="107">
        <v>1080</v>
      </c>
      <c r="U55" s="107">
        <v>1080</v>
      </c>
      <c r="V55"/>
      <c r="W55"/>
      <c r="X55"/>
    </row>
    <row r="56" spans="1:50" ht="15" x14ac:dyDescent="0.25">
      <c r="A56" s="103" t="str">
        <f t="shared" si="2"/>
        <v>N6</v>
      </c>
      <c r="B56" s="66">
        <v>212998</v>
      </c>
      <c r="C56" s="66" t="s">
        <v>207</v>
      </c>
      <c r="D56" s="66" t="s">
        <v>280</v>
      </c>
      <c r="E56" s="107">
        <v>1</v>
      </c>
      <c r="F56" s="107">
        <v>0</v>
      </c>
      <c r="G56" s="107">
        <v>120</v>
      </c>
      <c r="H56" s="107">
        <v>120</v>
      </c>
      <c r="O56" s="66">
        <v>212998</v>
      </c>
      <c r="P56" s="66" t="s">
        <v>207</v>
      </c>
      <c r="Q56" s="66" t="s">
        <v>280</v>
      </c>
      <c r="R56" s="107">
        <v>1</v>
      </c>
      <c r="S56" s="107">
        <v>0</v>
      </c>
      <c r="T56" s="107">
        <v>120</v>
      </c>
      <c r="U56" s="107">
        <v>120</v>
      </c>
      <c r="V56"/>
      <c r="W56"/>
      <c r="X56"/>
    </row>
    <row r="57" spans="1:50" ht="15" x14ac:dyDescent="0.25">
      <c r="A57" s="103" t="str">
        <f t="shared" si="2"/>
        <v>N6</v>
      </c>
      <c r="B57" s="66">
        <v>212999</v>
      </c>
      <c r="C57" s="66" t="s">
        <v>266</v>
      </c>
      <c r="D57" s="66" t="s">
        <v>280</v>
      </c>
      <c r="E57" s="107">
        <v>16</v>
      </c>
      <c r="F57" s="107">
        <v>430</v>
      </c>
      <c r="G57" s="107">
        <v>960</v>
      </c>
      <c r="H57" s="107">
        <v>1390</v>
      </c>
      <c r="O57" s="66">
        <v>212999</v>
      </c>
      <c r="P57" s="66" t="s">
        <v>266</v>
      </c>
      <c r="Q57" s="66" t="s">
        <v>280</v>
      </c>
      <c r="R57" s="107">
        <v>16</v>
      </c>
      <c r="S57" s="107">
        <v>430</v>
      </c>
      <c r="T57" s="107">
        <v>960</v>
      </c>
      <c r="U57" s="107">
        <v>1390</v>
      </c>
      <c r="V57"/>
      <c r="W57"/>
      <c r="X57"/>
    </row>
    <row r="58" spans="1:50" ht="15" x14ac:dyDescent="0.25">
      <c r="A58" s="103" t="str">
        <f t="shared" si="2"/>
        <v>N6</v>
      </c>
      <c r="B58" s="66">
        <v>213002</v>
      </c>
      <c r="C58" s="66" t="s">
        <v>205</v>
      </c>
      <c r="D58" s="66" t="s">
        <v>280</v>
      </c>
      <c r="E58" s="107">
        <v>12</v>
      </c>
      <c r="F58" s="107">
        <v>195</v>
      </c>
      <c r="G58" s="107">
        <v>1080</v>
      </c>
      <c r="H58" s="107">
        <v>1275</v>
      </c>
      <c r="O58" s="66">
        <v>213002</v>
      </c>
      <c r="P58" s="66" t="s">
        <v>205</v>
      </c>
      <c r="Q58" s="66" t="s">
        <v>280</v>
      </c>
      <c r="R58" s="107">
        <v>12</v>
      </c>
      <c r="S58" s="107">
        <v>195</v>
      </c>
      <c r="T58" s="107">
        <v>1080</v>
      </c>
      <c r="U58" s="107">
        <v>1275</v>
      </c>
      <c r="V58"/>
      <c r="W58"/>
      <c r="X58"/>
    </row>
    <row r="59" spans="1:50" ht="15" x14ac:dyDescent="0.25">
      <c r="A59" s="103" t="str">
        <f t="shared" si="2"/>
        <v>N6</v>
      </c>
      <c r="B59" s="66">
        <v>213007</v>
      </c>
      <c r="C59" s="66" t="s">
        <v>267</v>
      </c>
      <c r="D59" s="66" t="s">
        <v>280</v>
      </c>
      <c r="E59" s="107">
        <v>2</v>
      </c>
      <c r="F59" s="107">
        <v>65</v>
      </c>
      <c r="G59" s="107">
        <v>120</v>
      </c>
      <c r="H59" s="107">
        <v>185</v>
      </c>
      <c r="O59" s="66">
        <v>213007</v>
      </c>
      <c r="P59" s="66" t="s">
        <v>267</v>
      </c>
      <c r="Q59" s="66" t="s">
        <v>280</v>
      </c>
      <c r="R59" s="107">
        <v>2</v>
      </c>
      <c r="S59" s="107">
        <v>65</v>
      </c>
      <c r="T59" s="107">
        <v>120</v>
      </c>
      <c r="U59" s="107">
        <v>185</v>
      </c>
      <c r="V59"/>
      <c r="W59"/>
      <c r="X59"/>
    </row>
    <row r="60" spans="1:50" ht="15" x14ac:dyDescent="0.25">
      <c r="A60" s="103" t="str">
        <f t="shared" si="2"/>
        <v>N6</v>
      </c>
      <c r="B60" s="66">
        <v>213008</v>
      </c>
      <c r="C60" s="66" t="s">
        <v>268</v>
      </c>
      <c r="D60" s="66" t="s">
        <v>280</v>
      </c>
      <c r="E60" s="107">
        <v>10</v>
      </c>
      <c r="F60" s="107">
        <v>200</v>
      </c>
      <c r="G60" s="107">
        <v>720</v>
      </c>
      <c r="H60" s="107">
        <v>920</v>
      </c>
      <c r="O60" s="66">
        <v>213008</v>
      </c>
      <c r="P60" s="66" t="s">
        <v>268</v>
      </c>
      <c r="Q60" s="66" t="s">
        <v>280</v>
      </c>
      <c r="R60" s="107">
        <v>10</v>
      </c>
      <c r="S60" s="107">
        <v>200</v>
      </c>
      <c r="T60" s="107">
        <v>720</v>
      </c>
      <c r="U60" s="107">
        <v>920</v>
      </c>
      <c r="V60"/>
      <c r="W60"/>
      <c r="X60"/>
    </row>
    <row r="61" spans="1:50" ht="15.75" x14ac:dyDescent="0.25">
      <c r="A61" s="103" t="str">
        <f t="shared" si="2"/>
        <v>N6</v>
      </c>
      <c r="B61" s="66">
        <v>213275</v>
      </c>
      <c r="C61" s="66" t="s">
        <v>214</v>
      </c>
      <c r="D61" s="66" t="s">
        <v>277</v>
      </c>
      <c r="E61" s="107">
        <v>2</v>
      </c>
      <c r="F61" s="107">
        <v>70</v>
      </c>
      <c r="G61" s="107"/>
      <c r="H61" s="107">
        <v>70</v>
      </c>
      <c r="O61" s="66">
        <v>213275</v>
      </c>
      <c r="P61" s="66" t="s">
        <v>214</v>
      </c>
      <c r="Q61" s="66" t="s">
        <v>277</v>
      </c>
      <c r="R61" s="107">
        <v>2</v>
      </c>
      <c r="S61" s="107">
        <v>70</v>
      </c>
      <c r="T61" s="107"/>
      <c r="U61" s="107">
        <v>70</v>
      </c>
      <c r="V61"/>
      <c r="W61"/>
      <c r="X61"/>
      <c r="AQ61" s="104"/>
      <c r="AR61" s="105"/>
      <c r="AS61" s="104"/>
      <c r="AT61" s="104"/>
      <c r="AU61" s="104"/>
      <c r="AV61" s="104"/>
      <c r="AW61" s="104"/>
      <c r="AX61" s="104"/>
    </row>
    <row r="62" spans="1:50" ht="15.75" x14ac:dyDescent="0.25">
      <c r="A62" s="131" t="str">
        <f t="shared" ref="A62:A83" si="3">"N6"</f>
        <v>N6</v>
      </c>
      <c r="B62" s="132">
        <v>213288</v>
      </c>
      <c r="C62" s="132" t="s">
        <v>209</v>
      </c>
      <c r="D62" s="132" t="s">
        <v>280</v>
      </c>
      <c r="E62" s="133">
        <v>6</v>
      </c>
      <c r="F62" s="133">
        <v>35</v>
      </c>
      <c r="G62" s="133">
        <v>600</v>
      </c>
      <c r="H62" s="133">
        <v>635</v>
      </c>
      <c r="O62" s="66">
        <v>213288</v>
      </c>
      <c r="P62" s="66" t="s">
        <v>209</v>
      </c>
      <c r="Q62" s="66" t="s">
        <v>280</v>
      </c>
      <c r="R62" s="107">
        <v>6</v>
      </c>
      <c r="S62" s="107">
        <v>35</v>
      </c>
      <c r="T62" s="107">
        <v>600</v>
      </c>
      <c r="U62" s="107">
        <v>635</v>
      </c>
      <c r="V62"/>
      <c r="W62"/>
      <c r="X62"/>
      <c r="AQ62" s="104"/>
      <c r="AR62" s="105"/>
      <c r="AS62" s="105"/>
      <c r="AT62" s="105"/>
      <c r="AV62" s="104"/>
      <c r="AW62" s="104"/>
      <c r="AX62" s="104"/>
    </row>
    <row r="63" spans="1:50" ht="15.75" x14ac:dyDescent="0.25">
      <c r="A63" s="131" t="str">
        <f t="shared" si="3"/>
        <v>N6</v>
      </c>
      <c r="B63" s="132">
        <v>213353</v>
      </c>
      <c r="C63" s="132" t="s">
        <v>272</v>
      </c>
      <c r="D63" s="132" t="s">
        <v>280</v>
      </c>
      <c r="E63" s="133">
        <v>8</v>
      </c>
      <c r="F63" s="133">
        <v>105</v>
      </c>
      <c r="G63" s="133">
        <v>600</v>
      </c>
      <c r="H63" s="133">
        <v>705</v>
      </c>
      <c r="O63" s="66">
        <v>213353</v>
      </c>
      <c r="P63" s="66" t="s">
        <v>272</v>
      </c>
      <c r="Q63" s="66" t="s">
        <v>280</v>
      </c>
      <c r="R63" s="107">
        <v>8</v>
      </c>
      <c r="S63" s="107">
        <v>105</v>
      </c>
      <c r="T63" s="107">
        <v>600</v>
      </c>
      <c r="U63" s="107">
        <v>705</v>
      </c>
      <c r="V63"/>
      <c r="W63"/>
      <c r="X63"/>
      <c r="AQ63" s="104"/>
      <c r="AR63" s="105"/>
      <c r="AS63" s="105"/>
      <c r="AT63" s="105"/>
      <c r="AU63" s="104"/>
      <c r="AV63" s="104"/>
      <c r="AW63" s="104"/>
      <c r="AX63" s="104"/>
    </row>
    <row r="64" spans="1:50" ht="15.75" x14ac:dyDescent="0.25">
      <c r="A64" s="131" t="str">
        <f t="shared" si="3"/>
        <v>N6</v>
      </c>
      <c r="B64" s="132">
        <v>213380</v>
      </c>
      <c r="C64" s="132" t="s">
        <v>275</v>
      </c>
      <c r="D64" s="132" t="s">
        <v>282</v>
      </c>
      <c r="E64" s="133">
        <v>10</v>
      </c>
      <c r="F64" s="133">
        <v>350</v>
      </c>
      <c r="G64" s="133"/>
      <c r="H64" s="133">
        <v>350</v>
      </c>
      <c r="O64" s="66">
        <v>213380</v>
      </c>
      <c r="P64" s="66" t="s">
        <v>275</v>
      </c>
      <c r="Q64" s="66" t="s">
        <v>282</v>
      </c>
      <c r="R64" s="107">
        <v>10</v>
      </c>
      <c r="S64" s="107">
        <v>350</v>
      </c>
      <c r="T64" s="107"/>
      <c r="U64" s="107">
        <v>350</v>
      </c>
      <c r="V64"/>
      <c r="W64"/>
      <c r="X64"/>
      <c r="AQ64" s="104"/>
      <c r="AR64" s="104"/>
      <c r="AS64" s="104"/>
      <c r="AT64" s="104"/>
      <c r="AU64" s="104"/>
      <c r="AV64" s="104"/>
      <c r="AW64" s="104"/>
      <c r="AX64" s="104"/>
    </row>
    <row r="65" spans="1:50" ht="15.75" x14ac:dyDescent="0.25">
      <c r="A65" s="131" t="str">
        <f t="shared" si="3"/>
        <v>N6</v>
      </c>
      <c r="B65" s="132">
        <v>213289</v>
      </c>
      <c r="C65" s="132" t="s">
        <v>210</v>
      </c>
      <c r="D65" s="132" t="s">
        <v>280</v>
      </c>
      <c r="E65" s="133">
        <v>1</v>
      </c>
      <c r="F65" s="133">
        <v>65</v>
      </c>
      <c r="G65" s="133"/>
      <c r="H65" s="133">
        <v>65</v>
      </c>
      <c r="O65" s="66">
        <v>213289</v>
      </c>
      <c r="P65" s="66" t="s">
        <v>210</v>
      </c>
      <c r="Q65" s="66" t="s">
        <v>280</v>
      </c>
      <c r="R65" s="107">
        <v>1</v>
      </c>
      <c r="S65" s="107">
        <v>65</v>
      </c>
      <c r="T65" s="107"/>
      <c r="U65" s="107">
        <v>65</v>
      </c>
      <c r="V65"/>
      <c r="W65"/>
      <c r="X65"/>
      <c r="AR65" s="104"/>
      <c r="AS65" s="104"/>
      <c r="AT65" s="104"/>
      <c r="AU65" s="104"/>
      <c r="AV65" s="104"/>
      <c r="AW65" s="104"/>
      <c r="AX65" s="104"/>
    </row>
    <row r="66" spans="1:50" ht="15.75" x14ac:dyDescent="0.25">
      <c r="A66" s="131" t="str">
        <f t="shared" si="3"/>
        <v>N6</v>
      </c>
      <c r="B66" s="134">
        <v>208362</v>
      </c>
      <c r="C66" s="134" t="s">
        <v>317</v>
      </c>
      <c r="D66" s="134" t="s">
        <v>283</v>
      </c>
      <c r="E66" s="105">
        <v>6</v>
      </c>
      <c r="F66" s="105">
        <v>210</v>
      </c>
      <c r="G66" s="105"/>
      <c r="H66" s="105">
        <v>210</v>
      </c>
      <c r="I66" s="104"/>
      <c r="O66" s="66">
        <v>208362</v>
      </c>
      <c r="P66" s="66" t="s">
        <v>317</v>
      </c>
      <c r="Q66" s="66" t="s">
        <v>283</v>
      </c>
      <c r="R66" s="107">
        <v>6</v>
      </c>
      <c r="S66" s="107">
        <v>210</v>
      </c>
      <c r="T66" s="107"/>
      <c r="U66" s="107">
        <v>210</v>
      </c>
      <c r="V66"/>
      <c r="W66"/>
      <c r="X66"/>
    </row>
    <row r="67" spans="1:50" ht="15.75" x14ac:dyDescent="0.25">
      <c r="A67" s="131" t="str">
        <f t="shared" si="3"/>
        <v>N6</v>
      </c>
      <c r="B67" s="134">
        <v>203593</v>
      </c>
      <c r="C67" s="134" t="s">
        <v>182</v>
      </c>
      <c r="D67" s="134" t="s">
        <v>280</v>
      </c>
      <c r="E67" s="105">
        <v>4</v>
      </c>
      <c r="F67" s="103">
        <v>140</v>
      </c>
      <c r="G67" s="105"/>
      <c r="H67" s="105">
        <v>140</v>
      </c>
      <c r="I67" s="104"/>
      <c r="J67" s="7"/>
      <c r="O67" s="66">
        <v>203593</v>
      </c>
      <c r="P67" s="66" t="s">
        <v>182</v>
      </c>
      <c r="Q67" s="66" t="s">
        <v>280</v>
      </c>
      <c r="R67" s="107">
        <v>4</v>
      </c>
      <c r="S67" s="107">
        <v>140</v>
      </c>
      <c r="T67" s="107"/>
      <c r="U67" s="107">
        <v>140</v>
      </c>
      <c r="V67"/>
      <c r="W67"/>
      <c r="X67"/>
    </row>
    <row r="68" spans="1:50" ht="15.75" x14ac:dyDescent="0.25">
      <c r="A68" s="131" t="str">
        <f t="shared" si="3"/>
        <v>N6</v>
      </c>
      <c r="B68" s="134">
        <v>213423</v>
      </c>
      <c r="C68" s="134" t="s">
        <v>319</v>
      </c>
      <c r="D68" s="134" t="s">
        <v>280</v>
      </c>
      <c r="E68" s="105">
        <v>2</v>
      </c>
      <c r="F68" s="105">
        <v>70</v>
      </c>
      <c r="G68" s="105"/>
      <c r="H68" s="105">
        <v>70</v>
      </c>
      <c r="I68" s="104"/>
      <c r="J68" s="7"/>
      <c r="O68" s="66">
        <v>213423</v>
      </c>
      <c r="P68" s="66" t="s">
        <v>319</v>
      </c>
      <c r="Q68" s="66" t="s">
        <v>280</v>
      </c>
      <c r="R68" s="107">
        <v>2</v>
      </c>
      <c r="S68" s="107">
        <v>70</v>
      </c>
      <c r="T68" s="107"/>
      <c r="U68" s="107">
        <v>70</v>
      </c>
      <c r="V68"/>
      <c r="W68"/>
      <c r="X68"/>
    </row>
    <row r="69" spans="1:50" ht="15.75" x14ac:dyDescent="0.25">
      <c r="A69" s="131" t="str">
        <f t="shared" si="3"/>
        <v>N6</v>
      </c>
      <c r="B69" s="134">
        <v>203374</v>
      </c>
      <c r="C69" s="134" t="s">
        <v>172</v>
      </c>
      <c r="D69" s="134" t="s">
        <v>277</v>
      </c>
      <c r="E69" s="105">
        <v>1</v>
      </c>
      <c r="F69" s="105">
        <v>65</v>
      </c>
      <c r="G69" s="105"/>
      <c r="H69" s="105">
        <v>65</v>
      </c>
      <c r="I69" s="104"/>
      <c r="J69" s="7"/>
      <c r="O69" s="66">
        <v>203374</v>
      </c>
      <c r="P69" s="66" t="s">
        <v>172</v>
      </c>
      <c r="Q69" s="66" t="s">
        <v>277</v>
      </c>
      <c r="R69" s="107">
        <v>1</v>
      </c>
      <c r="S69" s="107">
        <v>65</v>
      </c>
      <c r="T69" s="107"/>
      <c r="U69" s="107">
        <v>65</v>
      </c>
      <c r="V69"/>
      <c r="W69"/>
      <c r="X69"/>
    </row>
    <row r="70" spans="1:50" ht="15.75" x14ac:dyDescent="0.25">
      <c r="A70" s="131" t="str">
        <f t="shared" si="3"/>
        <v>N6</v>
      </c>
      <c r="B70" s="132">
        <v>211622</v>
      </c>
      <c r="C70" s="134" t="s">
        <v>132</v>
      </c>
      <c r="D70" s="134" t="s">
        <v>277</v>
      </c>
      <c r="E70" s="133">
        <v>3</v>
      </c>
      <c r="F70" s="105">
        <v>165</v>
      </c>
      <c r="G70" s="105"/>
      <c r="H70" s="105">
        <v>165</v>
      </c>
      <c r="I70" s="104"/>
      <c r="J70" s="7"/>
      <c r="O70" s="66">
        <v>211622</v>
      </c>
      <c r="P70" s="66" t="s">
        <v>132</v>
      </c>
      <c r="Q70" s="66" t="s">
        <v>277</v>
      </c>
      <c r="R70" s="107">
        <v>3</v>
      </c>
      <c r="S70" s="107">
        <v>165</v>
      </c>
      <c r="T70" s="107"/>
      <c r="U70" s="107">
        <v>165</v>
      </c>
      <c r="V70"/>
      <c r="W70"/>
      <c r="X70"/>
    </row>
    <row r="71" spans="1:50" ht="15" x14ac:dyDescent="0.25">
      <c r="A71" s="131" t="str">
        <f t="shared" si="3"/>
        <v>N6</v>
      </c>
      <c r="B71" s="132">
        <v>211888</v>
      </c>
      <c r="C71" s="132" t="s">
        <v>133</v>
      </c>
      <c r="D71" s="132" t="s">
        <v>277</v>
      </c>
      <c r="E71" s="133">
        <v>3</v>
      </c>
      <c r="F71" s="133">
        <v>135</v>
      </c>
      <c r="G71" s="133"/>
      <c r="H71" s="133">
        <v>135</v>
      </c>
      <c r="O71" s="66">
        <v>211888</v>
      </c>
      <c r="P71" s="66" t="s">
        <v>133</v>
      </c>
      <c r="Q71" s="66" t="s">
        <v>277</v>
      </c>
      <c r="R71" s="107">
        <v>3</v>
      </c>
      <c r="S71" s="107">
        <v>135</v>
      </c>
      <c r="T71" s="107"/>
      <c r="U71" s="107">
        <v>135</v>
      </c>
      <c r="V71"/>
      <c r="W71"/>
      <c r="X71"/>
    </row>
    <row r="72" spans="1:50" ht="15" x14ac:dyDescent="0.25">
      <c r="A72" s="131" t="str">
        <f t="shared" si="3"/>
        <v>N6</v>
      </c>
      <c r="B72" s="132">
        <v>204784</v>
      </c>
      <c r="C72" s="132" t="s">
        <v>180</v>
      </c>
      <c r="D72" s="132" t="s">
        <v>277</v>
      </c>
      <c r="E72" s="133">
        <v>5</v>
      </c>
      <c r="F72" s="133">
        <v>175</v>
      </c>
      <c r="G72" s="133"/>
      <c r="H72" s="133">
        <v>175</v>
      </c>
      <c r="O72" s="66">
        <v>204784</v>
      </c>
      <c r="P72" s="66" t="s">
        <v>180</v>
      </c>
      <c r="Q72" s="66" t="s">
        <v>277</v>
      </c>
      <c r="R72" s="107">
        <v>5</v>
      </c>
      <c r="S72" s="107">
        <v>175</v>
      </c>
      <c r="T72" s="107"/>
      <c r="U72" s="107">
        <v>175</v>
      </c>
      <c r="V72"/>
      <c r="W72"/>
      <c r="X72"/>
    </row>
    <row r="73" spans="1:50" ht="15" x14ac:dyDescent="0.25">
      <c r="A73" s="131" t="str">
        <f t="shared" si="3"/>
        <v>N6</v>
      </c>
      <c r="B73" s="132">
        <v>213030</v>
      </c>
      <c r="C73" s="132" t="s">
        <v>185</v>
      </c>
      <c r="D73" s="132" t="s">
        <v>277</v>
      </c>
      <c r="E73" s="133">
        <v>1</v>
      </c>
      <c r="F73" s="133">
        <v>35</v>
      </c>
      <c r="G73" s="133"/>
      <c r="H73" s="133">
        <v>35</v>
      </c>
      <c r="O73" s="66">
        <v>213030</v>
      </c>
      <c r="P73" s="66" t="s">
        <v>185</v>
      </c>
      <c r="Q73" s="66" t="s">
        <v>277</v>
      </c>
      <c r="R73" s="107">
        <v>1</v>
      </c>
      <c r="S73" s="107">
        <v>35</v>
      </c>
      <c r="T73" s="107"/>
      <c r="U73" s="107">
        <v>35</v>
      </c>
      <c r="V73"/>
      <c r="W73"/>
      <c r="X73"/>
    </row>
    <row r="74" spans="1:50" ht="15" x14ac:dyDescent="0.25">
      <c r="A74" s="131" t="str">
        <f t="shared" si="3"/>
        <v>N6</v>
      </c>
      <c r="B74" s="132">
        <v>201130</v>
      </c>
      <c r="C74" s="132" t="s">
        <v>56</v>
      </c>
      <c r="D74" s="132" t="s">
        <v>277</v>
      </c>
      <c r="E74" s="133">
        <v>7</v>
      </c>
      <c r="F74" s="133">
        <v>365</v>
      </c>
      <c r="G74" s="133"/>
      <c r="H74" s="133">
        <v>365</v>
      </c>
      <c r="O74" s="66">
        <v>201130</v>
      </c>
      <c r="P74" s="66" t="s">
        <v>56</v>
      </c>
      <c r="Q74" s="66" t="s">
        <v>277</v>
      </c>
      <c r="R74" s="107">
        <v>7</v>
      </c>
      <c r="S74" s="107">
        <v>365</v>
      </c>
      <c r="T74" s="107"/>
      <c r="U74" s="107">
        <v>365</v>
      </c>
      <c r="V74"/>
      <c r="W74"/>
      <c r="X74"/>
    </row>
    <row r="75" spans="1:50" ht="15" x14ac:dyDescent="0.25">
      <c r="A75" s="131" t="str">
        <f t="shared" si="3"/>
        <v>N6</v>
      </c>
      <c r="B75" s="132">
        <v>209508</v>
      </c>
      <c r="C75" s="132" t="s">
        <v>116</v>
      </c>
      <c r="D75" s="132" t="s">
        <v>277</v>
      </c>
      <c r="E75" s="133">
        <v>2</v>
      </c>
      <c r="F75" s="133">
        <v>100</v>
      </c>
      <c r="G75" s="133"/>
      <c r="H75" s="133">
        <v>100</v>
      </c>
      <c r="O75" s="66">
        <v>209508</v>
      </c>
      <c r="P75" s="66" t="s">
        <v>116</v>
      </c>
      <c r="Q75" s="66" t="s">
        <v>277</v>
      </c>
      <c r="R75" s="107">
        <v>2</v>
      </c>
      <c r="S75" s="107">
        <v>100</v>
      </c>
      <c r="T75" s="107"/>
      <c r="U75" s="107">
        <v>100</v>
      </c>
      <c r="V75"/>
      <c r="W75"/>
      <c r="X75"/>
    </row>
    <row r="76" spans="1:50" ht="15" x14ac:dyDescent="0.25">
      <c r="A76" s="131" t="str">
        <f t="shared" si="3"/>
        <v>N6</v>
      </c>
      <c r="B76" s="132">
        <v>213021</v>
      </c>
      <c r="C76" s="132" t="s">
        <v>194</v>
      </c>
      <c r="D76" s="132" t="s">
        <v>277</v>
      </c>
      <c r="E76" s="133">
        <v>2</v>
      </c>
      <c r="F76" s="133">
        <v>70</v>
      </c>
      <c r="G76" s="133"/>
      <c r="H76" s="133">
        <v>70</v>
      </c>
      <c r="O76" s="66">
        <v>213021</v>
      </c>
      <c r="P76" s="66" t="s">
        <v>194</v>
      </c>
      <c r="Q76" s="66" t="s">
        <v>277</v>
      </c>
      <c r="R76" s="107">
        <v>2</v>
      </c>
      <c r="S76" s="107">
        <v>70</v>
      </c>
      <c r="T76" s="107"/>
      <c r="U76" s="107">
        <v>70</v>
      </c>
      <c r="V76"/>
      <c r="W76"/>
      <c r="X76"/>
    </row>
    <row r="77" spans="1:50" ht="15" x14ac:dyDescent="0.25">
      <c r="A77" s="131" t="str">
        <f t="shared" si="3"/>
        <v>N6</v>
      </c>
      <c r="B77" s="132">
        <v>213027</v>
      </c>
      <c r="C77" s="132" t="s">
        <v>188</v>
      </c>
      <c r="D77" s="132" t="s">
        <v>277</v>
      </c>
      <c r="E77" s="133">
        <v>2</v>
      </c>
      <c r="F77" s="133">
        <v>100</v>
      </c>
      <c r="G77" s="133"/>
      <c r="H77" s="133">
        <v>100</v>
      </c>
      <c r="O77" s="66">
        <v>213027</v>
      </c>
      <c r="P77" s="66" t="s">
        <v>188</v>
      </c>
      <c r="Q77" s="66" t="s">
        <v>277</v>
      </c>
      <c r="R77" s="107">
        <v>2</v>
      </c>
      <c r="S77" s="107">
        <v>100</v>
      </c>
      <c r="T77" s="107"/>
      <c r="U77" s="107">
        <v>100</v>
      </c>
      <c r="V77"/>
      <c r="W77"/>
      <c r="X77"/>
    </row>
    <row r="78" spans="1:50" ht="15" x14ac:dyDescent="0.25">
      <c r="A78" s="131" t="str">
        <f t="shared" si="3"/>
        <v>N6</v>
      </c>
      <c r="B78" s="132">
        <v>201033</v>
      </c>
      <c r="C78" s="132" t="s">
        <v>55</v>
      </c>
      <c r="D78" s="132" t="s">
        <v>277</v>
      </c>
      <c r="E78" s="133">
        <v>4</v>
      </c>
      <c r="F78" s="133">
        <v>200</v>
      </c>
      <c r="G78" s="133"/>
      <c r="H78" s="133">
        <v>200</v>
      </c>
      <c r="O78" s="66">
        <v>201033</v>
      </c>
      <c r="P78" s="66" t="s">
        <v>55</v>
      </c>
      <c r="Q78" s="66" t="s">
        <v>277</v>
      </c>
      <c r="R78" s="107">
        <v>4</v>
      </c>
      <c r="S78" s="107">
        <v>200</v>
      </c>
      <c r="T78" s="107"/>
      <c r="U78" s="107">
        <v>200</v>
      </c>
      <c r="V78"/>
      <c r="W78"/>
      <c r="X78"/>
    </row>
    <row r="79" spans="1:50" ht="15" x14ac:dyDescent="0.25">
      <c r="A79" s="131" t="str">
        <f t="shared" si="3"/>
        <v>N6</v>
      </c>
      <c r="B79" s="132">
        <v>210727</v>
      </c>
      <c r="C79" s="132" t="s">
        <v>123</v>
      </c>
      <c r="D79" s="132" t="s">
        <v>277</v>
      </c>
      <c r="E79" s="133">
        <v>4</v>
      </c>
      <c r="F79" s="133">
        <v>170</v>
      </c>
      <c r="G79" s="133"/>
      <c r="H79" s="133">
        <v>170</v>
      </c>
      <c r="O79" s="66">
        <v>210727</v>
      </c>
      <c r="P79" s="66" t="s">
        <v>123</v>
      </c>
      <c r="Q79" s="66" t="s">
        <v>277</v>
      </c>
      <c r="R79" s="107">
        <v>4</v>
      </c>
      <c r="S79" s="107">
        <v>170</v>
      </c>
      <c r="T79" s="107"/>
      <c r="U79" s="107">
        <v>170</v>
      </c>
      <c r="V79"/>
      <c r="W79"/>
      <c r="X79"/>
    </row>
    <row r="80" spans="1:50" ht="15" x14ac:dyDescent="0.25">
      <c r="A80" s="131" t="str">
        <f t="shared" si="3"/>
        <v>N6</v>
      </c>
      <c r="B80" s="132">
        <v>213029</v>
      </c>
      <c r="C80" s="132" t="s">
        <v>184</v>
      </c>
      <c r="D80" s="132" t="s">
        <v>277</v>
      </c>
      <c r="E80" s="133">
        <v>3</v>
      </c>
      <c r="F80" s="133">
        <v>135</v>
      </c>
      <c r="G80" s="133"/>
      <c r="H80" s="133">
        <v>135</v>
      </c>
      <c r="O80" s="66">
        <v>213029</v>
      </c>
      <c r="P80" s="66" t="s">
        <v>184</v>
      </c>
      <c r="Q80" s="66" t="s">
        <v>277</v>
      </c>
      <c r="R80" s="107">
        <v>3</v>
      </c>
      <c r="S80" s="107">
        <v>135</v>
      </c>
      <c r="T80" s="107"/>
      <c r="U80" s="107">
        <v>135</v>
      </c>
      <c r="V80"/>
      <c r="W80"/>
      <c r="X80"/>
    </row>
    <row r="81" spans="1:24" ht="15" x14ac:dyDescent="0.25">
      <c r="A81" s="131" t="str">
        <f t="shared" si="3"/>
        <v>N6</v>
      </c>
      <c r="B81" s="132">
        <v>213032</v>
      </c>
      <c r="C81" s="132" t="s">
        <v>191</v>
      </c>
      <c r="D81" s="132" t="s">
        <v>277</v>
      </c>
      <c r="E81" s="133">
        <v>3</v>
      </c>
      <c r="F81" s="133">
        <v>135</v>
      </c>
      <c r="G81" s="133"/>
      <c r="H81" s="133">
        <v>135</v>
      </c>
      <c r="O81" s="66">
        <v>213032</v>
      </c>
      <c r="P81" s="66" t="s">
        <v>191</v>
      </c>
      <c r="Q81" s="66" t="s">
        <v>277</v>
      </c>
      <c r="R81" s="107">
        <v>3</v>
      </c>
      <c r="S81" s="107">
        <v>135</v>
      </c>
      <c r="T81" s="107"/>
      <c r="U81" s="107">
        <v>135</v>
      </c>
      <c r="V81"/>
      <c r="W81"/>
      <c r="X81"/>
    </row>
    <row r="82" spans="1:24" ht="15" x14ac:dyDescent="0.25">
      <c r="A82" s="131" t="str">
        <f t="shared" si="3"/>
        <v>N6</v>
      </c>
      <c r="B82" s="132">
        <v>212223</v>
      </c>
      <c r="C82" s="132" t="s">
        <v>154</v>
      </c>
      <c r="D82" s="132" t="s">
        <v>277</v>
      </c>
      <c r="E82" s="133">
        <v>3</v>
      </c>
      <c r="F82" s="133">
        <v>165</v>
      </c>
      <c r="G82" s="133"/>
      <c r="H82" s="133">
        <v>165</v>
      </c>
      <c r="O82" s="66">
        <v>212223</v>
      </c>
      <c r="P82" s="66" t="s">
        <v>154</v>
      </c>
      <c r="Q82" s="66" t="s">
        <v>277</v>
      </c>
      <c r="R82" s="107">
        <v>3</v>
      </c>
      <c r="S82" s="107">
        <v>165</v>
      </c>
      <c r="T82" s="107"/>
      <c r="U82" s="107">
        <v>165</v>
      </c>
      <c r="V82"/>
      <c r="W82"/>
      <c r="X82"/>
    </row>
    <row r="83" spans="1:24" ht="15" x14ac:dyDescent="0.25">
      <c r="A83" s="131" t="str">
        <f t="shared" si="3"/>
        <v>N6</v>
      </c>
      <c r="B83" s="132">
        <v>203363</v>
      </c>
      <c r="C83" s="132" t="s">
        <v>73</v>
      </c>
      <c r="D83" s="132" t="s">
        <v>277</v>
      </c>
      <c r="E83" s="133">
        <v>2</v>
      </c>
      <c r="F83" s="133">
        <v>100</v>
      </c>
      <c r="G83" s="133"/>
      <c r="H83" s="133">
        <v>100</v>
      </c>
      <c r="O83" s="66">
        <v>203363</v>
      </c>
      <c r="P83" s="66" t="s">
        <v>73</v>
      </c>
      <c r="Q83" s="66" t="s">
        <v>277</v>
      </c>
      <c r="R83" s="107">
        <v>2</v>
      </c>
      <c r="S83" s="107">
        <v>100</v>
      </c>
      <c r="T83" s="107"/>
      <c r="U83" s="107">
        <v>100</v>
      </c>
      <c r="V83"/>
      <c r="W83"/>
      <c r="X83"/>
    </row>
    <row r="84" spans="1:24" ht="15" x14ac:dyDescent="0.25">
      <c r="A84" s="131" t="str">
        <f t="shared" ref="A84:A93" si="4">"N6"</f>
        <v>N6</v>
      </c>
      <c r="B84" s="132">
        <v>211387</v>
      </c>
      <c r="C84" s="132" t="s">
        <v>128</v>
      </c>
      <c r="D84" s="132" t="s">
        <v>277</v>
      </c>
      <c r="E84" s="133">
        <v>1</v>
      </c>
      <c r="F84" s="133">
        <v>35</v>
      </c>
      <c r="G84" s="133"/>
      <c r="H84" s="133">
        <v>35</v>
      </c>
      <c r="O84" s="66">
        <v>211387</v>
      </c>
      <c r="P84" s="66" t="s">
        <v>128</v>
      </c>
      <c r="Q84" s="66" t="s">
        <v>277</v>
      </c>
      <c r="R84" s="107">
        <v>1</v>
      </c>
      <c r="S84" s="107">
        <v>35</v>
      </c>
      <c r="T84" s="107"/>
      <c r="U84" s="107">
        <v>35</v>
      </c>
      <c r="V84"/>
      <c r="W84"/>
      <c r="X84"/>
    </row>
    <row r="85" spans="1:24" ht="15" x14ac:dyDescent="0.25">
      <c r="A85" s="131" t="str">
        <f t="shared" si="4"/>
        <v>N6</v>
      </c>
      <c r="B85" s="132">
        <v>202098</v>
      </c>
      <c r="C85" s="132" t="s">
        <v>190</v>
      </c>
      <c r="D85" s="132" t="s">
        <v>277</v>
      </c>
      <c r="E85" s="133">
        <v>1</v>
      </c>
      <c r="F85" s="133">
        <v>65</v>
      </c>
      <c r="G85" s="133"/>
      <c r="H85" s="133">
        <v>65</v>
      </c>
      <c r="O85" s="66">
        <v>202098</v>
      </c>
      <c r="P85" s="66" t="s">
        <v>190</v>
      </c>
      <c r="Q85" s="66" t="s">
        <v>277</v>
      </c>
      <c r="R85" s="107">
        <v>1</v>
      </c>
      <c r="S85" s="107">
        <v>65</v>
      </c>
      <c r="T85" s="107"/>
      <c r="U85" s="107">
        <v>65</v>
      </c>
      <c r="V85"/>
      <c r="W85"/>
      <c r="X85"/>
    </row>
    <row r="86" spans="1:24" ht="15" x14ac:dyDescent="0.25">
      <c r="A86" s="131" t="str">
        <f t="shared" si="4"/>
        <v>N6</v>
      </c>
      <c r="B86" s="132">
        <v>212221</v>
      </c>
      <c r="C86" s="132" t="s">
        <v>153</v>
      </c>
      <c r="D86" s="132" t="s">
        <v>277</v>
      </c>
      <c r="E86" s="133">
        <v>1</v>
      </c>
      <c r="F86" s="133">
        <v>35</v>
      </c>
      <c r="G86" s="133"/>
      <c r="H86" s="133">
        <v>35</v>
      </c>
      <c r="O86" s="66">
        <v>212221</v>
      </c>
      <c r="P86" s="66" t="s">
        <v>153</v>
      </c>
      <c r="Q86" s="66" t="s">
        <v>277</v>
      </c>
      <c r="R86" s="107">
        <v>1</v>
      </c>
      <c r="S86" s="107">
        <v>35</v>
      </c>
      <c r="T86" s="107"/>
      <c r="U86" s="107">
        <v>35</v>
      </c>
      <c r="V86"/>
      <c r="W86"/>
      <c r="X86"/>
    </row>
    <row r="87" spans="1:24" ht="15" x14ac:dyDescent="0.25">
      <c r="A87" s="131" t="str">
        <f t="shared" si="4"/>
        <v>N6</v>
      </c>
      <c r="B87" s="132">
        <v>212409</v>
      </c>
      <c r="C87" s="132" t="s">
        <v>174</v>
      </c>
      <c r="D87" s="132" t="s">
        <v>277</v>
      </c>
      <c r="E87" s="133">
        <v>1</v>
      </c>
      <c r="F87" s="133">
        <v>65</v>
      </c>
      <c r="G87" s="133"/>
      <c r="H87" s="133">
        <v>65</v>
      </c>
      <c r="O87" s="66">
        <v>212409</v>
      </c>
      <c r="P87" s="66" t="s">
        <v>174</v>
      </c>
      <c r="Q87" s="66" t="s">
        <v>277</v>
      </c>
      <c r="R87" s="107">
        <v>1</v>
      </c>
      <c r="S87" s="107">
        <v>65</v>
      </c>
      <c r="T87" s="107"/>
      <c r="U87" s="107">
        <v>65</v>
      </c>
      <c r="V87"/>
      <c r="W87"/>
      <c r="X87"/>
    </row>
    <row r="88" spans="1:24" ht="15" x14ac:dyDescent="0.25">
      <c r="A88" s="131" t="str">
        <f t="shared" si="4"/>
        <v>N6</v>
      </c>
      <c r="B88" s="132">
        <v>213365</v>
      </c>
      <c r="C88" s="132" t="s">
        <v>274</v>
      </c>
      <c r="D88" s="132" t="s">
        <v>277</v>
      </c>
      <c r="E88" s="133">
        <v>1</v>
      </c>
      <c r="F88" s="133">
        <v>35</v>
      </c>
      <c r="G88" s="133"/>
      <c r="H88" s="133">
        <v>35</v>
      </c>
      <c r="O88" s="66">
        <v>213365</v>
      </c>
      <c r="P88" s="66" t="s">
        <v>274</v>
      </c>
      <c r="Q88" s="66" t="s">
        <v>277</v>
      </c>
      <c r="R88" s="107">
        <v>1</v>
      </c>
      <c r="S88" s="107">
        <v>35</v>
      </c>
      <c r="T88" s="107"/>
      <c r="U88" s="107">
        <v>35</v>
      </c>
      <c r="V88"/>
      <c r="W88"/>
      <c r="X88"/>
    </row>
    <row r="89" spans="1:24" ht="15" x14ac:dyDescent="0.25">
      <c r="A89" s="131" t="str">
        <f t="shared" si="4"/>
        <v>N6</v>
      </c>
      <c r="B89" s="132">
        <v>210938</v>
      </c>
      <c r="C89" s="132" t="s">
        <v>212</v>
      </c>
      <c r="D89" s="132" t="s">
        <v>277</v>
      </c>
      <c r="E89" s="133">
        <v>1</v>
      </c>
      <c r="F89" s="133">
        <v>35</v>
      </c>
      <c r="G89" s="133"/>
      <c r="H89" s="133">
        <v>35</v>
      </c>
      <c r="O89" s="66">
        <v>210938</v>
      </c>
      <c r="P89" s="66" t="s">
        <v>212</v>
      </c>
      <c r="Q89" s="66" t="s">
        <v>277</v>
      </c>
      <c r="R89" s="107">
        <v>1</v>
      </c>
      <c r="S89" s="107">
        <v>35</v>
      </c>
      <c r="T89" s="107"/>
      <c r="U89" s="107">
        <v>35</v>
      </c>
      <c r="V89"/>
      <c r="W89"/>
      <c r="X89"/>
    </row>
    <row r="90" spans="1:24" ht="15" x14ac:dyDescent="0.25">
      <c r="A90" s="131" t="str">
        <f t="shared" si="4"/>
        <v>N6</v>
      </c>
      <c r="B90" s="132">
        <v>211341</v>
      </c>
      <c r="C90" s="132" t="s">
        <v>127</v>
      </c>
      <c r="D90" s="132" t="s">
        <v>277</v>
      </c>
      <c r="E90" s="133">
        <v>1</v>
      </c>
      <c r="F90" s="133">
        <v>65</v>
      </c>
      <c r="G90" s="133"/>
      <c r="H90" s="133">
        <v>65</v>
      </c>
      <c r="O90" s="66">
        <v>211341</v>
      </c>
      <c r="P90" s="66" t="s">
        <v>127</v>
      </c>
      <c r="Q90" s="66" t="s">
        <v>277</v>
      </c>
      <c r="R90" s="107">
        <v>1</v>
      </c>
      <c r="S90" s="107">
        <v>65</v>
      </c>
      <c r="T90" s="107"/>
      <c r="U90" s="107">
        <v>65</v>
      </c>
      <c r="V90"/>
      <c r="W90"/>
      <c r="X90"/>
    </row>
    <row r="91" spans="1:24" ht="15" x14ac:dyDescent="0.25">
      <c r="A91" s="131" t="str">
        <f t="shared" si="4"/>
        <v>N6</v>
      </c>
      <c r="B91" s="132">
        <v>202192</v>
      </c>
      <c r="C91" s="132" t="s">
        <v>231</v>
      </c>
      <c r="D91" s="132" t="s">
        <v>285</v>
      </c>
      <c r="E91" s="133">
        <v>6</v>
      </c>
      <c r="F91" s="133">
        <v>210</v>
      </c>
      <c r="G91" s="133"/>
      <c r="H91" s="133">
        <v>210</v>
      </c>
      <c r="O91" s="66">
        <v>202192</v>
      </c>
      <c r="P91" s="66" t="s">
        <v>231</v>
      </c>
      <c r="Q91" s="66" t="s">
        <v>285</v>
      </c>
      <c r="R91" s="107">
        <v>6</v>
      </c>
      <c r="S91" s="107">
        <v>210</v>
      </c>
      <c r="T91" s="107"/>
      <c r="U91" s="107">
        <v>210</v>
      </c>
      <c r="V91"/>
      <c r="W91"/>
      <c r="X91"/>
    </row>
    <row r="92" spans="1:24" ht="15" x14ac:dyDescent="0.25">
      <c r="A92" s="131" t="str">
        <f t="shared" si="4"/>
        <v>N6</v>
      </c>
      <c r="B92" s="132">
        <v>212403</v>
      </c>
      <c r="C92" s="132" t="s">
        <v>213</v>
      </c>
      <c r="D92" s="132" t="s">
        <v>285</v>
      </c>
      <c r="E92" s="133">
        <v>1</v>
      </c>
      <c r="F92" s="133">
        <v>35</v>
      </c>
      <c r="G92" s="133"/>
      <c r="H92" s="133">
        <v>35</v>
      </c>
      <c r="O92" s="66">
        <v>212403</v>
      </c>
      <c r="P92" s="66" t="s">
        <v>213</v>
      </c>
      <c r="Q92" s="66" t="s">
        <v>285</v>
      </c>
      <c r="R92" s="107">
        <v>1</v>
      </c>
      <c r="S92" s="107">
        <v>35</v>
      </c>
      <c r="T92" s="107"/>
      <c r="U92" s="107">
        <v>35</v>
      </c>
      <c r="V92"/>
      <c r="W92"/>
      <c r="X92"/>
    </row>
    <row r="93" spans="1:24" ht="15" x14ac:dyDescent="0.25">
      <c r="A93" s="131" t="str">
        <f t="shared" si="4"/>
        <v>N6</v>
      </c>
      <c r="B93" s="136" t="s">
        <v>337</v>
      </c>
      <c r="C93" s="136"/>
      <c r="D93" s="136"/>
      <c r="E93" s="137">
        <v>425</v>
      </c>
      <c r="F93" s="138">
        <v>14225</v>
      </c>
      <c r="G93" s="138">
        <v>9840</v>
      </c>
      <c r="H93" s="138">
        <v>24065</v>
      </c>
      <c r="O93" s="113" t="s">
        <v>337</v>
      </c>
      <c r="P93" s="114"/>
      <c r="Q93" s="114"/>
      <c r="R93" s="107">
        <v>425</v>
      </c>
      <c r="S93" s="107">
        <v>14225</v>
      </c>
      <c r="T93" s="107">
        <v>9840</v>
      </c>
      <c r="U93" s="107">
        <v>24065</v>
      </c>
      <c r="V93"/>
      <c r="W93"/>
      <c r="X93"/>
    </row>
    <row r="94" spans="1:24" ht="15" x14ac:dyDescent="0.25">
      <c r="A94" s="135"/>
      <c r="B94" s="136"/>
      <c r="C94" s="136"/>
      <c r="D94" s="136"/>
      <c r="E94" s="137"/>
      <c r="F94" s="138"/>
      <c r="G94" s="138"/>
      <c r="H94" s="138"/>
      <c r="O94"/>
      <c r="P94"/>
      <c r="Q94"/>
      <c r="R94"/>
      <c r="S94"/>
      <c r="T94"/>
      <c r="U94"/>
      <c r="V94"/>
      <c r="W94"/>
      <c r="X94"/>
    </row>
    <row r="95" spans="1:24" ht="15" x14ac:dyDescent="0.25">
      <c r="O95"/>
      <c r="P95"/>
      <c r="Q95"/>
      <c r="R95"/>
      <c r="S95"/>
      <c r="T95"/>
      <c r="U95"/>
      <c r="V95"/>
      <c r="W95"/>
      <c r="X95"/>
    </row>
    <row r="96" spans="1:24" ht="15" x14ac:dyDescent="0.25">
      <c r="O96"/>
      <c r="P96"/>
      <c r="Q96"/>
      <c r="R96"/>
      <c r="S96"/>
      <c r="T96"/>
      <c r="U96"/>
      <c r="V96"/>
      <c r="W96"/>
      <c r="X96"/>
    </row>
    <row r="97" spans="2:24" ht="15" x14ac:dyDescent="0.25">
      <c r="O97"/>
      <c r="P97"/>
      <c r="Q97"/>
      <c r="R97"/>
      <c r="S97"/>
      <c r="T97"/>
      <c r="U97"/>
      <c r="V97"/>
      <c r="W97"/>
      <c r="X97"/>
    </row>
    <row r="98" spans="2:24" ht="15.75" x14ac:dyDescent="0.25">
      <c r="B98" s="104"/>
      <c r="C98" s="105"/>
      <c r="D98" s="104"/>
      <c r="E98" s="104"/>
      <c r="F98" s="104"/>
      <c r="G98" s="104"/>
      <c r="H98" s="104"/>
      <c r="O98"/>
      <c r="P98"/>
      <c r="Q98"/>
      <c r="R98"/>
      <c r="S98"/>
      <c r="T98"/>
      <c r="U98"/>
      <c r="V98"/>
      <c r="W98"/>
      <c r="X98"/>
    </row>
    <row r="99" spans="2:24" ht="15.75" x14ac:dyDescent="0.25">
      <c r="B99" s="104"/>
      <c r="C99" s="105"/>
      <c r="D99" s="105"/>
      <c r="E99" s="105"/>
      <c r="G99" s="104"/>
      <c r="H99" s="104"/>
      <c r="O99"/>
      <c r="P99"/>
      <c r="Q99"/>
      <c r="R99"/>
      <c r="S99"/>
      <c r="T99"/>
      <c r="U99"/>
      <c r="V99"/>
      <c r="W99"/>
      <c r="X99"/>
    </row>
    <row r="100" spans="2:24" ht="15.75" x14ac:dyDescent="0.25">
      <c r="B100" s="104"/>
      <c r="C100" s="105"/>
      <c r="D100" s="105"/>
      <c r="E100" s="105"/>
      <c r="F100" s="104"/>
      <c r="G100" s="104"/>
      <c r="H100" s="104"/>
      <c r="O100"/>
      <c r="P100"/>
      <c r="Q100"/>
      <c r="R100"/>
      <c r="S100"/>
      <c r="T100"/>
      <c r="U100"/>
      <c r="V100"/>
      <c r="W100"/>
      <c r="X100"/>
    </row>
    <row r="101" spans="2:24" ht="15.75" x14ac:dyDescent="0.25">
      <c r="B101" s="104"/>
      <c r="C101" s="104"/>
      <c r="D101" s="104"/>
      <c r="E101" s="104"/>
      <c r="F101" s="104"/>
      <c r="G101" s="104"/>
      <c r="H101" s="104"/>
      <c r="O101"/>
      <c r="P101"/>
      <c r="Q101"/>
      <c r="R101"/>
      <c r="S101"/>
      <c r="T101"/>
      <c r="U101"/>
      <c r="V101"/>
      <c r="W101"/>
      <c r="X101"/>
    </row>
    <row r="102" spans="2:24" ht="15.75" x14ac:dyDescent="0.25">
      <c r="B102" s="10"/>
      <c r="C102" s="104"/>
      <c r="D102" s="105"/>
      <c r="F102" s="104"/>
      <c r="G102" s="104"/>
      <c r="H102" s="104"/>
      <c r="O102"/>
      <c r="P102"/>
      <c r="Q102"/>
      <c r="R102"/>
      <c r="S102"/>
      <c r="T102"/>
      <c r="U102"/>
      <c r="V102"/>
      <c r="W102"/>
      <c r="X102"/>
    </row>
    <row r="103" spans="2:24" ht="15" x14ac:dyDescent="0.25">
      <c r="O103"/>
      <c r="P103"/>
      <c r="Q103"/>
      <c r="R103"/>
      <c r="S103"/>
      <c r="T103"/>
      <c r="U103"/>
      <c r="V103"/>
      <c r="W103"/>
      <c r="X103"/>
    </row>
    <row r="104" spans="2:24" ht="15" x14ac:dyDescent="0.25">
      <c r="O104"/>
      <c r="P104"/>
      <c r="Q104"/>
      <c r="R104"/>
      <c r="S104"/>
      <c r="T104"/>
      <c r="U104"/>
      <c r="V104"/>
      <c r="W104"/>
      <c r="X104"/>
    </row>
    <row r="105" spans="2:24" ht="15" x14ac:dyDescent="0.25">
      <c r="O105"/>
      <c r="P105"/>
      <c r="Q105"/>
      <c r="R105"/>
      <c r="S105"/>
      <c r="T105"/>
      <c r="U105"/>
      <c r="V105"/>
      <c r="W105"/>
      <c r="X105"/>
    </row>
    <row r="106" spans="2:24" ht="15" x14ac:dyDescent="0.25">
      <c r="O106"/>
      <c r="P106"/>
      <c r="Q106"/>
      <c r="R106"/>
      <c r="S106"/>
      <c r="T106"/>
      <c r="U106"/>
      <c r="V106"/>
      <c r="W106"/>
      <c r="X106"/>
    </row>
    <row r="107" spans="2:24" ht="15" x14ac:dyDescent="0.25">
      <c r="O107"/>
      <c r="P107"/>
      <c r="Q107"/>
      <c r="R107"/>
      <c r="S107"/>
      <c r="T107"/>
      <c r="U107"/>
      <c r="V107"/>
      <c r="W107"/>
      <c r="X107"/>
    </row>
    <row r="108" spans="2:24" ht="15" x14ac:dyDescent="0.25">
      <c r="O108"/>
      <c r="P108"/>
      <c r="Q108"/>
      <c r="R108"/>
      <c r="S108"/>
      <c r="T108"/>
      <c r="U108"/>
      <c r="V108"/>
      <c r="W108"/>
      <c r="X108"/>
    </row>
    <row r="109" spans="2:24" ht="15" x14ac:dyDescent="0.25">
      <c r="O109"/>
      <c r="P109"/>
      <c r="Q109"/>
      <c r="R109"/>
      <c r="S109"/>
      <c r="T109"/>
      <c r="U109"/>
      <c r="V109"/>
      <c r="W109"/>
      <c r="X109"/>
    </row>
    <row r="110" spans="2:24" ht="15" x14ac:dyDescent="0.25">
      <c r="O110"/>
      <c r="P110"/>
      <c r="Q110"/>
      <c r="R110"/>
      <c r="S110"/>
      <c r="T110"/>
      <c r="U110"/>
      <c r="V110"/>
      <c r="W110"/>
      <c r="X110"/>
    </row>
    <row r="111" spans="2:24" ht="15" x14ac:dyDescent="0.25">
      <c r="O111"/>
      <c r="P111"/>
      <c r="Q111"/>
      <c r="R111"/>
      <c r="S111"/>
      <c r="T111"/>
      <c r="U111"/>
      <c r="V111"/>
      <c r="W111"/>
      <c r="X111"/>
    </row>
    <row r="112" spans="2:24" ht="15" x14ac:dyDescent="0.25">
      <c r="O112"/>
      <c r="P112"/>
      <c r="Q112"/>
      <c r="R112"/>
      <c r="S112"/>
      <c r="T112"/>
      <c r="U112"/>
      <c r="V112"/>
      <c r="W112"/>
      <c r="X112"/>
    </row>
    <row r="113" spans="15:24" ht="15" x14ac:dyDescent="0.25">
      <c r="O113"/>
      <c r="P113"/>
      <c r="Q113"/>
      <c r="R113"/>
      <c r="S113"/>
      <c r="T113"/>
      <c r="U113"/>
      <c r="V113"/>
      <c r="W113"/>
      <c r="X113"/>
    </row>
    <row r="114" spans="15:24" ht="15" x14ac:dyDescent="0.25">
      <c r="O114"/>
      <c r="P114"/>
      <c r="Q114"/>
      <c r="R114"/>
      <c r="S114"/>
      <c r="T114"/>
      <c r="U114"/>
      <c r="V114"/>
      <c r="W114"/>
      <c r="X114"/>
    </row>
    <row r="115" spans="15:24" ht="15" x14ac:dyDescent="0.25">
      <c r="Q115"/>
      <c r="R115"/>
      <c r="S115"/>
      <c r="T115"/>
      <c r="U115"/>
      <c r="V115"/>
      <c r="W115"/>
      <c r="X115"/>
    </row>
    <row r="116" spans="15:24" ht="15" x14ac:dyDescent="0.25">
      <c r="Q116"/>
      <c r="R116"/>
      <c r="S116"/>
      <c r="T116"/>
      <c r="U116"/>
      <c r="V116"/>
      <c r="W116"/>
      <c r="X116"/>
    </row>
    <row r="117" spans="15:24" ht="15" x14ac:dyDescent="0.25">
      <c r="Q117"/>
      <c r="R117"/>
      <c r="S117"/>
      <c r="T117"/>
      <c r="U117"/>
      <c r="V117"/>
      <c r="W117"/>
      <c r="X117"/>
    </row>
    <row r="118" spans="15:24" ht="15" x14ac:dyDescent="0.25">
      <c r="Q118"/>
      <c r="R118"/>
      <c r="S118"/>
      <c r="T118"/>
      <c r="U118"/>
      <c r="V118"/>
      <c r="W118"/>
      <c r="X118"/>
    </row>
    <row r="119" spans="15:24" ht="15" x14ac:dyDescent="0.25">
      <c r="Q119"/>
      <c r="R119"/>
      <c r="S119"/>
      <c r="T119"/>
      <c r="U119"/>
      <c r="V119"/>
      <c r="W119"/>
      <c r="X119"/>
    </row>
    <row r="120" spans="15:24" ht="15" x14ac:dyDescent="0.25">
      <c r="Q120"/>
      <c r="R120"/>
      <c r="S120"/>
      <c r="T120"/>
      <c r="U120"/>
      <c r="V120"/>
      <c r="W120"/>
      <c r="X120"/>
    </row>
    <row r="121" spans="15:24" ht="15" x14ac:dyDescent="0.25">
      <c r="Q121"/>
      <c r="R121"/>
      <c r="S121"/>
      <c r="T121"/>
      <c r="U121"/>
      <c r="V121"/>
      <c r="W121"/>
      <c r="X121"/>
    </row>
    <row r="122" spans="15:24" ht="15" x14ac:dyDescent="0.25">
      <c r="Q122"/>
      <c r="R122"/>
      <c r="S122"/>
      <c r="T122"/>
      <c r="U122"/>
      <c r="V122"/>
      <c r="W122"/>
      <c r="X122"/>
    </row>
    <row r="123" spans="15:24" ht="15" x14ac:dyDescent="0.25">
      <c r="Q123"/>
      <c r="R123"/>
      <c r="S123"/>
      <c r="T123"/>
      <c r="U123"/>
      <c r="V123"/>
      <c r="W123"/>
      <c r="X123"/>
    </row>
    <row r="124" spans="15:24" ht="15" x14ac:dyDescent="0.25">
      <c r="Q124"/>
      <c r="R124"/>
      <c r="S124"/>
      <c r="T124"/>
      <c r="U124"/>
      <c r="V124"/>
      <c r="W124"/>
      <c r="X124"/>
    </row>
    <row r="125" spans="15:24" ht="15" x14ac:dyDescent="0.25">
      <c r="Q125"/>
      <c r="R125"/>
      <c r="S125"/>
      <c r="T125"/>
      <c r="U125"/>
      <c r="V125"/>
      <c r="W125"/>
      <c r="X125"/>
    </row>
    <row r="126" spans="15:24" ht="15" x14ac:dyDescent="0.25">
      <c r="Q126"/>
      <c r="R126"/>
      <c r="S126"/>
      <c r="T126"/>
      <c r="U126"/>
      <c r="V126"/>
      <c r="W126"/>
      <c r="X126"/>
    </row>
    <row r="127" spans="15:24" ht="15" x14ac:dyDescent="0.25">
      <c r="Q127"/>
      <c r="R127"/>
      <c r="S127"/>
      <c r="T127"/>
      <c r="U127"/>
      <c r="V127"/>
      <c r="W127"/>
      <c r="X127"/>
    </row>
    <row r="128" spans="15:24" ht="15" x14ac:dyDescent="0.25">
      <c r="Q128"/>
      <c r="R128"/>
      <c r="S128"/>
      <c r="T128"/>
      <c r="U128"/>
      <c r="V128"/>
      <c r="W128"/>
      <c r="X128"/>
    </row>
    <row r="129" spans="17:24" ht="15" x14ac:dyDescent="0.25">
      <c r="Q129"/>
      <c r="R129"/>
      <c r="S129"/>
      <c r="T129"/>
      <c r="U129"/>
      <c r="V129"/>
      <c r="W129"/>
      <c r="X129"/>
    </row>
    <row r="130" spans="17:24" ht="15" x14ac:dyDescent="0.25">
      <c r="Q130"/>
      <c r="R130"/>
      <c r="S130"/>
      <c r="T130"/>
      <c r="U130"/>
      <c r="V130"/>
      <c r="W130"/>
      <c r="X130"/>
    </row>
    <row r="131" spans="17:24" ht="15" x14ac:dyDescent="0.25">
      <c r="Q131"/>
      <c r="R131"/>
      <c r="S131"/>
      <c r="T131"/>
      <c r="U131"/>
      <c r="V131"/>
      <c r="W131"/>
      <c r="X131"/>
    </row>
    <row r="132" spans="17:24" ht="15" x14ac:dyDescent="0.25">
      <c r="Q132"/>
      <c r="R132"/>
      <c r="S132"/>
      <c r="T132"/>
      <c r="U132"/>
      <c r="V132"/>
      <c r="W132"/>
      <c r="X132"/>
    </row>
    <row r="133" spans="17:24" ht="15" x14ac:dyDescent="0.25">
      <c r="Q133"/>
      <c r="R133"/>
      <c r="S133"/>
      <c r="T133"/>
      <c r="U133"/>
      <c r="V133"/>
      <c r="W133"/>
      <c r="X133"/>
    </row>
    <row r="134" spans="17:24" ht="15" x14ac:dyDescent="0.25">
      <c r="Q134"/>
      <c r="R134"/>
      <c r="S134"/>
      <c r="T134"/>
      <c r="U134"/>
      <c r="V134"/>
      <c r="W134"/>
      <c r="X134"/>
    </row>
    <row r="135" spans="17:24" ht="15" x14ac:dyDescent="0.25">
      <c r="Q135"/>
      <c r="R135"/>
      <c r="S135"/>
      <c r="T135"/>
      <c r="U135"/>
      <c r="V135"/>
      <c r="W135"/>
      <c r="X135"/>
    </row>
    <row r="136" spans="17:24" ht="15" x14ac:dyDescent="0.25">
      <c r="Q136"/>
      <c r="R136"/>
      <c r="S136"/>
      <c r="T136"/>
      <c r="U136"/>
      <c r="V136"/>
      <c r="W136"/>
      <c r="X136"/>
    </row>
    <row r="137" spans="17:24" ht="15" x14ac:dyDescent="0.25">
      <c r="Q137"/>
      <c r="R137"/>
      <c r="S137"/>
      <c r="T137"/>
      <c r="U137"/>
      <c r="V137"/>
      <c r="W137"/>
      <c r="X137"/>
    </row>
    <row r="138" spans="17:24" ht="15" x14ac:dyDescent="0.25">
      <c r="Q138"/>
      <c r="R138"/>
      <c r="S138"/>
      <c r="T138"/>
      <c r="U138"/>
      <c r="V138"/>
      <c r="W138"/>
      <c r="X138"/>
    </row>
    <row r="139" spans="17:24" ht="15" x14ac:dyDescent="0.25">
      <c r="Q139"/>
      <c r="R139"/>
      <c r="S139"/>
      <c r="T139"/>
      <c r="U139"/>
      <c r="V139"/>
      <c r="W139"/>
      <c r="X139"/>
    </row>
    <row r="140" spans="17:24" ht="15" x14ac:dyDescent="0.25">
      <c r="Q140"/>
      <c r="R140"/>
      <c r="S140"/>
      <c r="T140"/>
      <c r="U140"/>
      <c r="V140"/>
      <c r="W140"/>
      <c r="X140"/>
    </row>
    <row r="141" spans="17:24" ht="15" x14ac:dyDescent="0.25">
      <c r="Q141"/>
      <c r="R141"/>
      <c r="S141"/>
      <c r="T141"/>
      <c r="U141"/>
      <c r="V141"/>
      <c r="W141"/>
      <c r="X141"/>
    </row>
    <row r="142" spans="17:24" ht="15" x14ac:dyDescent="0.25">
      <c r="Q142"/>
      <c r="R142"/>
      <c r="S142"/>
      <c r="T142"/>
      <c r="U142"/>
      <c r="V142"/>
      <c r="W142"/>
      <c r="X142"/>
    </row>
    <row r="143" spans="17:24" ht="15" x14ac:dyDescent="0.25">
      <c r="Q143"/>
      <c r="R143"/>
      <c r="S143"/>
      <c r="T143"/>
      <c r="U143"/>
      <c r="V143"/>
      <c r="W143"/>
      <c r="X143"/>
    </row>
    <row r="144" spans="17:24" ht="15" x14ac:dyDescent="0.25">
      <c r="Q144"/>
      <c r="R144"/>
      <c r="S144"/>
      <c r="T144"/>
      <c r="U144"/>
      <c r="V144"/>
      <c r="W144"/>
      <c r="X144"/>
    </row>
    <row r="145" spans="17:24" ht="15" x14ac:dyDescent="0.25">
      <c r="Q145"/>
      <c r="R145"/>
      <c r="S145"/>
      <c r="T145"/>
      <c r="U145"/>
      <c r="V145"/>
      <c r="W145"/>
      <c r="X145"/>
    </row>
    <row r="146" spans="17:24" ht="15" x14ac:dyDescent="0.25">
      <c r="Q146"/>
      <c r="R146"/>
      <c r="S146"/>
      <c r="T146"/>
      <c r="U146"/>
      <c r="V146"/>
      <c r="W146"/>
      <c r="X146"/>
    </row>
    <row r="147" spans="17:24" ht="15" x14ac:dyDescent="0.25">
      <c r="Q147"/>
      <c r="R147"/>
      <c r="S147"/>
      <c r="T147"/>
      <c r="U147"/>
      <c r="V147"/>
      <c r="W147"/>
      <c r="X147"/>
    </row>
    <row r="148" spans="17:24" ht="15" x14ac:dyDescent="0.25">
      <c r="Q148"/>
      <c r="R148"/>
      <c r="S148"/>
      <c r="T148"/>
      <c r="U148"/>
      <c r="V148"/>
      <c r="W148"/>
      <c r="X148"/>
    </row>
    <row r="149" spans="17:24" ht="15" x14ac:dyDescent="0.25">
      <c r="Q149"/>
      <c r="R149"/>
      <c r="S149"/>
      <c r="T149"/>
      <c r="U149"/>
      <c r="V149"/>
      <c r="W149"/>
      <c r="X149"/>
    </row>
    <row r="150" spans="17:24" ht="15" x14ac:dyDescent="0.25">
      <c r="Q150"/>
      <c r="R150"/>
      <c r="S150"/>
      <c r="T150"/>
      <c r="U150"/>
      <c r="V150"/>
      <c r="W150"/>
      <c r="X150"/>
    </row>
    <row r="151" spans="17:24" ht="15" x14ac:dyDescent="0.25">
      <c r="Q151"/>
      <c r="R151"/>
      <c r="S151"/>
      <c r="T151"/>
      <c r="U151"/>
      <c r="V151"/>
      <c r="W151"/>
      <c r="X151"/>
    </row>
    <row r="152" spans="17:24" ht="15" x14ac:dyDescent="0.25">
      <c r="Q152"/>
      <c r="R152"/>
      <c r="S152"/>
      <c r="T152"/>
      <c r="U152"/>
      <c r="V152"/>
      <c r="W152"/>
      <c r="X152"/>
    </row>
    <row r="153" spans="17:24" ht="15" x14ac:dyDescent="0.25">
      <c r="Q153"/>
      <c r="R153"/>
      <c r="S153"/>
      <c r="T153"/>
      <c r="U153"/>
      <c r="V153"/>
      <c r="W153"/>
      <c r="X153"/>
    </row>
    <row r="154" spans="17:24" ht="15" x14ac:dyDescent="0.25">
      <c r="Q154"/>
      <c r="R154"/>
      <c r="S154"/>
      <c r="T154"/>
      <c r="U154"/>
      <c r="V154"/>
      <c r="W154"/>
      <c r="X154"/>
    </row>
    <row r="155" spans="17:24" ht="15" x14ac:dyDescent="0.25">
      <c r="Q155"/>
      <c r="R155"/>
      <c r="S155"/>
      <c r="T155"/>
      <c r="U155"/>
      <c r="V155"/>
      <c r="W155"/>
      <c r="X155"/>
    </row>
    <row r="156" spans="17:24" ht="15" x14ac:dyDescent="0.25">
      <c r="Q156"/>
      <c r="R156"/>
      <c r="S156"/>
      <c r="T156"/>
      <c r="U156"/>
      <c r="V156"/>
      <c r="W156"/>
      <c r="X156"/>
    </row>
    <row r="157" spans="17:24" ht="15" x14ac:dyDescent="0.25">
      <c r="Q157"/>
      <c r="R157"/>
      <c r="S157"/>
      <c r="T157"/>
      <c r="U157"/>
      <c r="V157"/>
      <c r="W157"/>
      <c r="X157"/>
    </row>
  </sheetData>
  <mergeCells count="4">
    <mergeCell ref="C4:J4"/>
    <mergeCell ref="C5:J5"/>
    <mergeCell ref="C6:J6"/>
    <mergeCell ref="C7:J7"/>
  </mergeCells>
  <printOptions horizontalCentered="1"/>
  <pageMargins left="0.70866141732283472" right="0.70866141732283472" top="0.74803149606299213" bottom="0.74803149606299213" header="0.31496062992125984" footer="0.31496062992125984"/>
  <pageSetup scale="52" orientation="portrait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33CC33"/>
  </sheetPr>
  <dimension ref="A1:BA274"/>
  <sheetViews>
    <sheetView showGridLines="0" topLeftCell="A25" zoomScale="83" workbookViewId="0">
      <selection activeCell="A29" sqref="A29:J30"/>
    </sheetView>
  </sheetViews>
  <sheetFormatPr baseColWidth="10" defaultColWidth="9.140625" defaultRowHeight="12.75" x14ac:dyDescent="0.2"/>
  <cols>
    <col min="1" max="1" width="11.140625" style="100" customWidth="1"/>
    <col min="2" max="2" width="14.140625" style="100" customWidth="1"/>
    <col min="3" max="3" width="12.7109375" style="100" customWidth="1"/>
    <col min="4" max="4" width="23" style="100" bestFit="1" customWidth="1"/>
    <col min="5" max="5" width="23.42578125" style="100" customWidth="1"/>
    <col min="6" max="6" width="20" style="100" bestFit="1" customWidth="1"/>
    <col min="7" max="7" width="26.7109375" style="100" bestFit="1" customWidth="1"/>
    <col min="8" max="8" width="16.7109375" style="100" customWidth="1"/>
    <col min="9" max="9" width="12.140625" style="100" customWidth="1"/>
    <col min="10" max="45" width="9.140625" style="89"/>
    <col min="46" max="46" width="27.7109375" style="89" bestFit="1" customWidth="1"/>
    <col min="47" max="50" width="9.140625" style="89"/>
    <col min="51" max="51" width="26.5703125" style="89" bestFit="1" customWidth="1"/>
    <col min="52" max="16384" width="9.140625" style="89"/>
  </cols>
  <sheetData>
    <row r="1" spans="1:53" ht="16.5" x14ac:dyDescent="0.25">
      <c r="A1" s="93"/>
      <c r="B1" s="93"/>
      <c r="C1" s="93"/>
      <c r="D1" s="93"/>
      <c r="E1" s="91"/>
      <c r="F1" s="91"/>
      <c r="G1" s="91"/>
      <c r="H1" s="91"/>
      <c r="I1" s="91"/>
    </row>
    <row r="2" spans="1:53" ht="16.5" x14ac:dyDescent="0.25">
      <c r="A2" s="143" t="s">
        <v>300</v>
      </c>
      <c r="B2" s="143"/>
      <c r="C2" s="143"/>
      <c r="D2" s="143"/>
      <c r="E2" s="143"/>
      <c r="F2" s="143"/>
      <c r="G2" s="143"/>
      <c r="H2" s="143"/>
      <c r="I2" s="143"/>
    </row>
    <row r="3" spans="1:53" ht="16.5" x14ac:dyDescent="0.25">
      <c r="A3" s="93"/>
      <c r="B3" s="93"/>
      <c r="C3" s="93"/>
      <c r="D3" s="102" t="s">
        <v>0</v>
      </c>
      <c r="E3" s="91"/>
      <c r="F3" s="91"/>
      <c r="G3" s="91"/>
      <c r="H3" s="91"/>
      <c r="I3" s="91"/>
    </row>
    <row r="4" spans="1:53" ht="16.5" x14ac:dyDescent="0.25">
      <c r="A4" s="93"/>
      <c r="B4" s="93"/>
      <c r="C4" s="93"/>
      <c r="D4" s="101">
        <v>212314</v>
      </c>
      <c r="E4" s="91"/>
      <c r="F4" s="91"/>
      <c r="G4" s="91"/>
      <c r="H4" s="91"/>
      <c r="I4" s="94"/>
    </row>
    <row r="5" spans="1:53" ht="16.5" x14ac:dyDescent="0.25">
      <c r="A5" s="93"/>
      <c r="B5" s="91"/>
      <c r="C5" s="91"/>
      <c r="D5" s="91"/>
      <c r="E5" s="91"/>
      <c r="F5" s="91"/>
      <c r="G5" s="91"/>
      <c r="H5" s="91"/>
      <c r="I5" s="91"/>
    </row>
    <row r="6" spans="1:53" ht="16.5" x14ac:dyDescent="0.25">
      <c r="A6" s="95" t="s">
        <v>0</v>
      </c>
      <c r="B6" s="98">
        <f>+D4</f>
        <v>212314</v>
      </c>
      <c r="C6" s="93"/>
      <c r="D6" s="93"/>
      <c r="E6" s="92" t="s">
        <v>302</v>
      </c>
      <c r="F6" s="97"/>
      <c r="G6" s="91"/>
      <c r="H6" s="91"/>
      <c r="I6" s="91"/>
    </row>
    <row r="7" spans="1:53" ht="16.5" x14ac:dyDescent="0.25">
      <c r="A7" s="90" t="s">
        <v>1</v>
      </c>
      <c r="B7" s="90" t="str">
        <f>VLOOKUP(B6,Tabla1[#All],2,FALSE)</f>
        <v>JUAN ANIBAL CARDOZA OVIEDO</v>
      </c>
      <c r="C7" s="93"/>
      <c r="D7" s="93"/>
      <c r="E7" s="92" t="s">
        <v>301</v>
      </c>
      <c r="F7" s="96"/>
      <c r="G7" s="91"/>
      <c r="H7" s="91"/>
      <c r="I7" s="91"/>
    </row>
    <row r="8" spans="1:53" ht="16.5" x14ac:dyDescent="0.25">
      <c r="A8" s="95" t="s">
        <v>299</v>
      </c>
      <c r="B8" s="127" t="str">
        <f>VLOOKUP(B6,Tabla1[#All],3,FALSE)</f>
        <v>Operador de Cabezal I</v>
      </c>
      <c r="C8" s="93"/>
      <c r="D8" s="93"/>
      <c r="E8" s="92" t="s">
        <v>312</v>
      </c>
      <c r="F8" s="90" t="str">
        <f>VLOOKUP(B6,[1]!Tabla2[#All],4,FALSE)</f>
        <v>NI0101A024</v>
      </c>
      <c r="G8" s="91"/>
      <c r="H8" s="91"/>
      <c r="I8" s="91"/>
    </row>
    <row r="9" spans="1:53" ht="16.5" x14ac:dyDescent="0.25">
      <c r="A9" s="92"/>
      <c r="B9" s="94"/>
      <c r="C9" s="94"/>
      <c r="D9" s="94"/>
      <c r="E9" s="94"/>
      <c r="F9" s="94"/>
      <c r="G9" s="94"/>
      <c r="H9" s="94"/>
      <c r="I9" s="91"/>
    </row>
    <row r="10" spans="1:53" ht="55.5" customHeight="1" x14ac:dyDescent="0.2">
      <c r="A10" s="146" t="s">
        <v>4</v>
      </c>
      <c r="B10" s="146" t="s">
        <v>5</v>
      </c>
      <c r="C10" s="146" t="s">
        <v>6</v>
      </c>
      <c r="D10" s="146" t="s">
        <v>298</v>
      </c>
      <c r="E10" s="147" t="s">
        <v>19</v>
      </c>
      <c r="F10" s="147" t="s">
        <v>21</v>
      </c>
      <c r="G10" s="147" t="s">
        <v>20</v>
      </c>
      <c r="H10" s="148" t="s">
        <v>3</v>
      </c>
      <c r="I10" s="146" t="s">
        <v>7</v>
      </c>
    </row>
    <row r="11" spans="1:53" ht="15" x14ac:dyDescent="0.25">
      <c r="A11" s="144">
        <v>4</v>
      </c>
      <c r="B11" s="144">
        <v>43855</v>
      </c>
      <c r="C11" s="144" t="s">
        <v>28</v>
      </c>
      <c r="D11" s="144" t="s">
        <v>296</v>
      </c>
      <c r="E11" s="144"/>
      <c r="F11" s="144">
        <v>35</v>
      </c>
      <c r="G11" s="144"/>
      <c r="H11" s="144"/>
      <c r="I11" s="144">
        <v>35</v>
      </c>
    </row>
    <row r="12" spans="1:53" ht="15" x14ac:dyDescent="0.25">
      <c r="A12" s="144">
        <v>107</v>
      </c>
      <c r="B12" s="144">
        <v>43861</v>
      </c>
      <c r="C12" s="144" t="s">
        <v>27</v>
      </c>
      <c r="D12" s="144" t="s">
        <v>292</v>
      </c>
      <c r="E12" s="144"/>
      <c r="F12" s="144">
        <v>65</v>
      </c>
      <c r="G12" s="144"/>
      <c r="H12" s="144"/>
      <c r="I12" s="144">
        <v>65</v>
      </c>
    </row>
    <row r="13" spans="1:53" ht="15.75" x14ac:dyDescent="0.25">
      <c r="A13" s="144">
        <v>127</v>
      </c>
      <c r="B13" s="144">
        <v>43862</v>
      </c>
      <c r="C13" s="144" t="s">
        <v>28</v>
      </c>
      <c r="D13" s="144" t="s">
        <v>219</v>
      </c>
      <c r="E13" s="144"/>
      <c r="F13" s="144">
        <v>65</v>
      </c>
      <c r="G13" s="144"/>
      <c r="H13" s="144"/>
      <c r="I13" s="144">
        <v>65</v>
      </c>
      <c r="AO13" s="164" t="s">
        <v>8</v>
      </c>
      <c r="AP13" s="164"/>
      <c r="AQ13" s="164"/>
      <c r="AR13" s="164"/>
      <c r="AS13" s="165">
        <f>+SUM(E11:E20)</f>
        <v>0</v>
      </c>
      <c r="AT13" s="165">
        <f>+SUM(F11:F20)</f>
        <v>230</v>
      </c>
      <c r="AU13" s="165">
        <f>+SUM(G11:G20)</f>
        <v>0</v>
      </c>
      <c r="AV13" s="165">
        <f>+SUM(H11:H23)</f>
        <v>1080</v>
      </c>
      <c r="AW13" s="165">
        <f>+SUM(I11:I23)</f>
        <v>1310</v>
      </c>
    </row>
    <row r="14" spans="1:53" ht="15" x14ac:dyDescent="0.25">
      <c r="A14" s="144">
        <v>178</v>
      </c>
      <c r="B14" s="144">
        <v>43865</v>
      </c>
      <c r="C14" s="144" t="s">
        <v>24</v>
      </c>
      <c r="D14" s="144" t="s">
        <v>219</v>
      </c>
      <c r="E14" s="144"/>
      <c r="F14" s="144">
        <v>65</v>
      </c>
      <c r="G14" s="144"/>
      <c r="H14" s="144"/>
      <c r="I14" s="144">
        <v>65</v>
      </c>
      <c r="AS14" s="89">
        <f>+SUM(E11:E19)</f>
        <v>0</v>
      </c>
    </row>
    <row r="15" spans="1:53" ht="15" x14ac:dyDescent="0.25">
      <c r="A15" s="144">
        <v>273</v>
      </c>
      <c r="B15" s="144">
        <v>43855</v>
      </c>
      <c r="C15" s="144" t="s">
        <v>28</v>
      </c>
      <c r="D15" s="144" t="s">
        <v>292</v>
      </c>
      <c r="E15" s="144"/>
      <c r="F15" s="144"/>
      <c r="G15" s="144"/>
      <c r="H15" s="144">
        <v>120</v>
      </c>
      <c r="I15" s="144">
        <v>120</v>
      </c>
    </row>
    <row r="16" spans="1:53" ht="18.75" x14ac:dyDescent="0.3">
      <c r="A16" s="144">
        <v>274</v>
      </c>
      <c r="B16" s="144">
        <v>43856</v>
      </c>
      <c r="C16" s="144" t="s">
        <v>22</v>
      </c>
      <c r="D16" s="144" t="s">
        <v>292</v>
      </c>
      <c r="E16" s="144"/>
      <c r="F16" s="144"/>
      <c r="G16" s="144"/>
      <c r="H16" s="144">
        <v>120</v>
      </c>
      <c r="I16" s="144">
        <v>120</v>
      </c>
      <c r="AO16" s="116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2"/>
      <c r="BA16" s="2"/>
    </row>
    <row r="17" spans="1:53" ht="18.75" x14ac:dyDescent="0.3">
      <c r="A17" s="144">
        <v>275</v>
      </c>
      <c r="B17" s="144">
        <v>43857</v>
      </c>
      <c r="C17" s="144" t="s">
        <v>23</v>
      </c>
      <c r="D17" s="144" t="s">
        <v>292</v>
      </c>
      <c r="E17" s="144"/>
      <c r="F17" s="144"/>
      <c r="G17" s="144"/>
      <c r="H17" s="144">
        <v>120</v>
      </c>
      <c r="I17" s="144">
        <v>120</v>
      </c>
      <c r="AO17" s="116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2"/>
      <c r="BA17" s="2"/>
    </row>
    <row r="18" spans="1:53" ht="18.75" x14ac:dyDescent="0.3">
      <c r="A18" s="144">
        <v>276</v>
      </c>
      <c r="B18" s="144">
        <v>43858</v>
      </c>
      <c r="C18" s="144" t="s">
        <v>24</v>
      </c>
      <c r="D18" s="144" t="s">
        <v>292</v>
      </c>
      <c r="E18" s="144"/>
      <c r="F18" s="144"/>
      <c r="G18" s="144"/>
      <c r="H18" s="144">
        <v>120</v>
      </c>
      <c r="I18" s="144">
        <v>120</v>
      </c>
      <c r="AO18" s="116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2"/>
      <c r="BA18" s="2"/>
    </row>
    <row r="19" spans="1:53" ht="18.75" x14ac:dyDescent="0.3">
      <c r="A19" s="144">
        <v>277</v>
      </c>
      <c r="B19" s="144">
        <v>43861</v>
      </c>
      <c r="C19" s="144" t="s">
        <v>27</v>
      </c>
      <c r="D19" s="144" t="s">
        <v>292</v>
      </c>
      <c r="E19" s="144"/>
      <c r="F19" s="144"/>
      <c r="G19" s="144"/>
      <c r="H19" s="144">
        <v>120</v>
      </c>
      <c r="I19" s="144">
        <v>120</v>
      </c>
      <c r="AO19" s="116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2"/>
      <c r="BA19" s="2"/>
    </row>
    <row r="20" spans="1:53" ht="18.75" x14ac:dyDescent="0.3">
      <c r="A20" s="144">
        <v>278</v>
      </c>
      <c r="B20" s="144">
        <v>43862</v>
      </c>
      <c r="C20" s="144" t="s">
        <v>28</v>
      </c>
      <c r="D20" s="144" t="s">
        <v>292</v>
      </c>
      <c r="E20" s="144"/>
      <c r="F20" s="144"/>
      <c r="G20" s="144"/>
      <c r="H20" s="144">
        <v>120</v>
      </c>
      <c r="I20" s="144">
        <v>120</v>
      </c>
      <c r="AO20" s="116"/>
      <c r="AP20" s="116"/>
      <c r="AQ20" s="116"/>
      <c r="AR20" s="118"/>
      <c r="AS20" s="118"/>
      <c r="AT20" s="117"/>
      <c r="AU20" s="117"/>
      <c r="AV20" s="117"/>
      <c r="AW20" s="117"/>
      <c r="AX20" s="117"/>
      <c r="AY20" s="117"/>
      <c r="AZ20" s="2"/>
      <c r="BA20" s="2"/>
    </row>
    <row r="21" spans="1:53" ht="18.75" x14ac:dyDescent="0.3">
      <c r="A21" s="144">
        <v>279</v>
      </c>
      <c r="B21" s="144">
        <v>43863</v>
      </c>
      <c r="C21" s="144" t="s">
        <v>22</v>
      </c>
      <c r="D21" s="144" t="s">
        <v>292</v>
      </c>
      <c r="E21" s="144"/>
      <c r="F21" s="144"/>
      <c r="G21" s="144"/>
      <c r="H21" s="144">
        <v>120</v>
      </c>
      <c r="I21" s="144">
        <v>120</v>
      </c>
      <c r="AO21" s="116"/>
      <c r="AP21" s="116"/>
      <c r="AQ21" s="116"/>
      <c r="AR21" s="118"/>
      <c r="AS21" s="118"/>
      <c r="AT21" s="117"/>
      <c r="AU21" s="117"/>
      <c r="AV21" s="117"/>
      <c r="AW21" s="117"/>
      <c r="AX21" s="117"/>
      <c r="AY21" s="117"/>
      <c r="AZ21" s="2"/>
      <c r="BA21" s="2"/>
    </row>
    <row r="22" spans="1:53" ht="18.75" x14ac:dyDescent="0.3">
      <c r="A22" s="144">
        <v>280</v>
      </c>
      <c r="B22" s="144">
        <v>43864</v>
      </c>
      <c r="C22" s="144" t="s">
        <v>23</v>
      </c>
      <c r="D22" s="144" t="s">
        <v>292</v>
      </c>
      <c r="E22" s="144"/>
      <c r="F22" s="144"/>
      <c r="G22" s="144"/>
      <c r="H22" s="144">
        <v>120</v>
      </c>
      <c r="I22" s="144">
        <v>120</v>
      </c>
      <c r="J22" s="117"/>
      <c r="K22" s="117"/>
      <c r="AO22" s="116"/>
      <c r="AP22" s="116"/>
      <c r="AQ22" s="116"/>
      <c r="AR22" s="118"/>
      <c r="AS22" s="118"/>
      <c r="AT22" s="117"/>
      <c r="AU22" s="117"/>
      <c r="AV22" s="117"/>
      <c r="AW22" s="117"/>
      <c r="AX22" s="117"/>
      <c r="AY22" s="117"/>
      <c r="AZ22" s="2"/>
      <c r="BA22" s="2"/>
    </row>
    <row r="23" spans="1:53" ht="18.75" x14ac:dyDescent="0.3">
      <c r="A23" s="145">
        <v>281</v>
      </c>
      <c r="B23" s="145">
        <v>43865</v>
      </c>
      <c r="C23" s="145" t="s">
        <v>24</v>
      </c>
      <c r="D23" s="145" t="s">
        <v>292</v>
      </c>
      <c r="E23" s="145"/>
      <c r="F23" s="145"/>
      <c r="G23" s="145"/>
      <c r="H23" s="145">
        <v>120</v>
      </c>
      <c r="I23" s="145">
        <v>120</v>
      </c>
      <c r="J23" s="126"/>
      <c r="K23" s="117"/>
      <c r="AO23" s="116"/>
      <c r="AP23" s="116"/>
      <c r="AQ23" s="117"/>
      <c r="AR23" s="117"/>
      <c r="AS23" s="117"/>
      <c r="AT23" s="117"/>
      <c r="AU23" s="117"/>
      <c r="AV23" s="117"/>
      <c r="AW23" s="117"/>
      <c r="AX23" s="117"/>
      <c r="AY23" s="117"/>
      <c r="AZ23" s="2"/>
      <c r="BA23" s="2"/>
    </row>
    <row r="24" spans="1:53" ht="18.75" x14ac:dyDescent="0.3">
      <c r="A24" s="172" t="s">
        <v>8</v>
      </c>
      <c r="B24" s="172"/>
      <c r="C24" s="172"/>
      <c r="D24" s="172"/>
      <c r="E24" s="172">
        <v>0</v>
      </c>
      <c r="F24" s="172">
        <v>230</v>
      </c>
      <c r="G24" s="172">
        <v>0</v>
      </c>
      <c r="H24" s="172">
        <v>1080</v>
      </c>
      <c r="I24" s="172">
        <v>1310</v>
      </c>
      <c r="J24" s="150"/>
      <c r="AO24" s="117"/>
      <c r="AP24" s="117"/>
      <c r="AQ24" s="119"/>
      <c r="AR24" s="119"/>
      <c r="AS24" s="117"/>
      <c r="AT24" s="117"/>
      <c r="AU24" s="117"/>
      <c r="AV24" s="117"/>
      <c r="AW24" s="117"/>
      <c r="AX24" s="117"/>
      <c r="AY24" s="117"/>
      <c r="AZ24" s="2"/>
      <c r="BA24" s="2"/>
    </row>
    <row r="25" spans="1:53" ht="18" x14ac:dyDescent="0.25">
      <c r="A25" s="149"/>
      <c r="B25" s="149"/>
      <c r="C25" s="149"/>
      <c r="D25" s="149"/>
      <c r="E25" s="149"/>
      <c r="F25" s="149"/>
      <c r="G25" s="149"/>
      <c r="H25" s="149"/>
      <c r="I25" s="149"/>
      <c r="J25" s="10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"/>
      <c r="BA25" s="1"/>
    </row>
    <row r="26" spans="1:53" ht="18.75" x14ac:dyDescent="0.3">
      <c r="A26" s="149"/>
      <c r="B26" s="149"/>
      <c r="C26" s="149"/>
      <c r="D26" s="149"/>
      <c r="E26" s="149"/>
      <c r="F26" s="149"/>
      <c r="G26" s="149"/>
      <c r="H26" s="149"/>
      <c r="I26" s="149"/>
      <c r="J26" s="100"/>
      <c r="AO26" s="117" t="s">
        <v>336</v>
      </c>
      <c r="AP26" s="117"/>
      <c r="AQ26" s="117"/>
      <c r="AR26" s="117" t="s">
        <v>9</v>
      </c>
      <c r="AS26" s="117"/>
      <c r="AT26" s="117" t="s">
        <v>29</v>
      </c>
      <c r="AU26" s="117"/>
      <c r="AV26" s="117" t="s">
        <v>30</v>
      </c>
      <c r="AW26" s="117"/>
      <c r="AX26" s="117"/>
      <c r="AZ26" s="2"/>
      <c r="BA26" s="2"/>
    </row>
    <row r="27" spans="1:53" ht="18.75" x14ac:dyDescent="0.3">
      <c r="A27" s="81"/>
      <c r="B27" s="99"/>
      <c r="C27" s="80"/>
      <c r="D27" s="81"/>
      <c r="E27" s="81"/>
      <c r="F27" s="81"/>
      <c r="G27" s="81"/>
      <c r="H27" s="81"/>
      <c r="I27" s="80"/>
      <c r="J27" s="100"/>
      <c r="AO27" s="121" t="s">
        <v>10</v>
      </c>
      <c r="AP27" s="122"/>
      <c r="AQ27" s="123"/>
      <c r="AR27" s="117"/>
      <c r="AS27" s="117"/>
      <c r="AT27" s="124" t="s">
        <v>11</v>
      </c>
      <c r="AU27" s="125"/>
      <c r="AW27" s="126" t="s">
        <v>12</v>
      </c>
      <c r="AX27" s="117"/>
      <c r="BA27" s="3"/>
    </row>
    <row r="28" spans="1:53" ht="15.75" x14ac:dyDescent="0.25">
      <c r="A28" s="154"/>
      <c r="B28" s="155"/>
      <c r="C28" s="155"/>
      <c r="D28" s="155"/>
      <c r="E28" s="155"/>
      <c r="F28" s="155"/>
      <c r="G28" s="155"/>
      <c r="H28" s="155"/>
      <c r="I28" s="155"/>
      <c r="J28" s="155"/>
      <c r="K28" s="2"/>
      <c r="L28" s="2"/>
      <c r="M28" s="2"/>
    </row>
    <row r="29" spans="1:53" ht="18" x14ac:dyDescent="0.25">
      <c r="A29" s="156" t="s">
        <v>336</v>
      </c>
      <c r="B29" s="156"/>
      <c r="C29" s="156"/>
      <c r="D29" s="156" t="s">
        <v>9</v>
      </c>
      <c r="E29" s="156"/>
      <c r="F29" s="156" t="s">
        <v>29</v>
      </c>
      <c r="G29" s="156"/>
      <c r="H29" s="156" t="s">
        <v>30</v>
      </c>
      <c r="I29" s="156"/>
      <c r="J29" s="156"/>
      <c r="K29" s="120"/>
      <c r="L29" s="2"/>
      <c r="M29" s="2"/>
    </row>
    <row r="30" spans="1:53" ht="18.75" x14ac:dyDescent="0.3">
      <c r="A30" s="150" t="s">
        <v>10</v>
      </c>
      <c r="B30" s="150"/>
      <c r="C30" s="150"/>
      <c r="D30" s="150"/>
      <c r="E30" s="150"/>
      <c r="F30" s="150" t="s">
        <v>11</v>
      </c>
      <c r="G30" s="150"/>
      <c r="H30" s="150"/>
      <c r="I30" s="150" t="s">
        <v>12</v>
      </c>
      <c r="J30" s="150"/>
      <c r="K30" s="117"/>
      <c r="L30" s="2"/>
      <c r="M30" s="2"/>
    </row>
    <row r="31" spans="1:53" ht="18.75" x14ac:dyDescent="0.3">
      <c r="A31" s="151"/>
      <c r="B31" s="152"/>
      <c r="C31" s="152"/>
      <c r="D31" s="150"/>
      <c r="E31" s="150"/>
      <c r="F31" s="152"/>
      <c r="G31" s="153"/>
      <c r="H31" s="157"/>
      <c r="I31" s="157"/>
      <c r="J31" s="150"/>
      <c r="K31" s="124"/>
      <c r="L31" s="2"/>
      <c r="M31" s="2"/>
    </row>
    <row r="32" spans="1:53" ht="15.75" x14ac:dyDescent="0.25">
      <c r="A32" s="158"/>
      <c r="B32" s="154"/>
      <c r="C32" s="155"/>
      <c r="D32" s="155"/>
      <c r="E32" s="155"/>
      <c r="F32" s="155"/>
      <c r="G32" s="155"/>
      <c r="H32" s="155"/>
      <c r="I32" s="155"/>
      <c r="J32" s="2"/>
      <c r="K32" s="2"/>
      <c r="L32" s="2"/>
      <c r="M32" s="2"/>
    </row>
    <row r="33" spans="1:13" ht="15.75" x14ac:dyDescent="0.25">
      <c r="A33" s="155"/>
      <c r="B33" s="155"/>
      <c r="C33" s="155"/>
      <c r="D33" s="155"/>
      <c r="E33" s="155"/>
      <c r="F33" s="155"/>
      <c r="G33" s="155"/>
      <c r="H33" s="155"/>
      <c r="I33" s="155"/>
      <c r="J33" s="2"/>
      <c r="K33" s="2"/>
      <c r="L33" s="2"/>
      <c r="M33" s="2"/>
    </row>
    <row r="34" spans="1:13" x14ac:dyDescent="0.2">
      <c r="A34" s="159"/>
      <c r="B34" s="159"/>
      <c r="C34" s="159"/>
      <c r="D34" s="159"/>
      <c r="E34" s="159"/>
      <c r="F34" s="159"/>
      <c r="G34" s="159"/>
      <c r="H34" s="159"/>
      <c r="I34" s="159"/>
      <c r="J34" s="1"/>
      <c r="K34" s="1"/>
      <c r="L34" s="1"/>
      <c r="M34" s="1"/>
    </row>
    <row r="35" spans="1:13" ht="15.75" x14ac:dyDescent="0.25">
      <c r="A35" s="155"/>
      <c r="B35" s="155"/>
      <c r="C35" s="155"/>
      <c r="D35" s="155"/>
      <c r="E35" s="16"/>
      <c r="G35" s="155"/>
      <c r="H35" s="155"/>
      <c r="I35" s="155"/>
      <c r="J35" s="2"/>
      <c r="L35" s="2"/>
      <c r="M35" s="2"/>
    </row>
    <row r="36" spans="1:13" ht="15.75" x14ac:dyDescent="0.25">
      <c r="A36" s="160"/>
      <c r="B36" s="161"/>
      <c r="C36" s="161"/>
      <c r="D36" s="155"/>
      <c r="E36" s="161"/>
      <c r="G36" s="161"/>
      <c r="H36" s="162"/>
      <c r="I36" s="162"/>
      <c r="J36" s="2"/>
      <c r="K36" s="2"/>
      <c r="M36" s="3"/>
    </row>
    <row r="38" spans="1:13" ht="15" x14ac:dyDescent="0.25">
      <c r="A38" s="81"/>
      <c r="B38" s="99"/>
      <c r="C38" s="80"/>
      <c r="D38" s="81"/>
      <c r="E38" s="81"/>
      <c r="F38" s="81"/>
      <c r="G38" s="81"/>
      <c r="H38" s="81"/>
      <c r="I38" s="80"/>
    </row>
    <row r="39" spans="1:13" ht="15" x14ac:dyDescent="0.25">
      <c r="A39" s="81"/>
      <c r="B39" s="99"/>
      <c r="C39" s="80"/>
      <c r="D39" s="81"/>
      <c r="E39" s="81"/>
      <c r="F39" s="81"/>
      <c r="G39" s="81"/>
      <c r="H39" s="81"/>
      <c r="I39" s="80"/>
    </row>
    <row r="40" spans="1:13" ht="15" x14ac:dyDescent="0.25">
      <c r="A40" s="81"/>
      <c r="B40" s="99"/>
      <c r="C40" s="80"/>
      <c r="D40" s="81"/>
      <c r="E40" s="81"/>
      <c r="F40" s="81"/>
      <c r="G40" s="81"/>
      <c r="H40" s="81"/>
      <c r="I40" s="80"/>
    </row>
    <row r="41" spans="1:13" ht="15" x14ac:dyDescent="0.25">
      <c r="A41" s="81"/>
      <c r="B41" s="99"/>
      <c r="C41" s="80"/>
      <c r="D41" s="81"/>
      <c r="E41" s="81"/>
      <c r="F41" s="81"/>
      <c r="G41" s="81"/>
      <c r="H41" s="81"/>
      <c r="I41" s="80"/>
    </row>
    <row r="42" spans="1:13" ht="15" x14ac:dyDescent="0.25">
      <c r="A42" s="81"/>
      <c r="B42" s="99"/>
      <c r="C42" s="80"/>
      <c r="D42" s="81"/>
      <c r="E42" s="81"/>
      <c r="F42" s="81"/>
      <c r="G42" s="81"/>
      <c r="H42" s="81"/>
      <c r="I42" s="80"/>
    </row>
    <row r="43" spans="1:13" ht="15" x14ac:dyDescent="0.25">
      <c r="A43" s="81"/>
      <c r="B43" s="99"/>
      <c r="C43" s="80"/>
      <c r="D43" s="81"/>
      <c r="E43" s="81"/>
      <c r="F43" s="81"/>
      <c r="G43" s="81"/>
      <c r="H43" s="81"/>
      <c r="I43" s="80"/>
    </row>
    <row r="44" spans="1:13" ht="15" x14ac:dyDescent="0.25">
      <c r="A44" s="81"/>
      <c r="B44" s="99"/>
      <c r="C44" s="80"/>
      <c r="D44" s="81"/>
      <c r="E44" s="81"/>
      <c r="F44" s="81"/>
      <c r="G44" s="81"/>
      <c r="H44" s="81"/>
      <c r="I44" s="80"/>
    </row>
    <row r="45" spans="1:13" ht="15" x14ac:dyDescent="0.25">
      <c r="A45" s="81"/>
      <c r="B45" s="99"/>
      <c r="C45" s="80"/>
      <c r="D45" s="81"/>
      <c r="E45" s="81"/>
      <c r="F45" s="81"/>
      <c r="G45" s="81"/>
      <c r="H45" s="81"/>
      <c r="I45" s="80"/>
    </row>
    <row r="46" spans="1:13" ht="15" x14ac:dyDescent="0.25">
      <c r="A46" s="81"/>
      <c r="B46" s="99"/>
      <c r="C46" s="80"/>
      <c r="D46" s="81"/>
      <c r="E46" s="81"/>
      <c r="F46" s="81"/>
      <c r="G46" s="81"/>
      <c r="H46" s="81"/>
      <c r="I46" s="80"/>
    </row>
    <row r="47" spans="1:13" ht="15" x14ac:dyDescent="0.25">
      <c r="A47" s="81"/>
      <c r="B47" s="99"/>
      <c r="C47" s="80"/>
      <c r="D47" s="81"/>
      <c r="E47" s="81"/>
      <c r="F47" s="81"/>
      <c r="G47" s="81"/>
      <c r="H47" s="81"/>
      <c r="I47" s="80"/>
    </row>
    <row r="48" spans="1:13" ht="15" x14ac:dyDescent="0.25">
      <c r="A48" s="81"/>
      <c r="B48" s="99"/>
      <c r="C48" s="80"/>
      <c r="D48" s="81"/>
      <c r="E48" s="81"/>
      <c r="F48" s="81"/>
      <c r="G48" s="81"/>
      <c r="H48" s="81"/>
      <c r="I48" s="80"/>
    </row>
    <row r="49" spans="1:9" ht="15" x14ac:dyDescent="0.25">
      <c r="A49" s="81"/>
      <c r="B49" s="99"/>
      <c r="C49" s="80"/>
      <c r="D49" s="81"/>
      <c r="E49" s="81"/>
      <c r="F49" s="81"/>
      <c r="G49" s="81"/>
      <c r="H49" s="81"/>
      <c r="I49" s="80"/>
    </row>
    <row r="50" spans="1:9" ht="15" x14ac:dyDescent="0.25">
      <c r="A50" s="81"/>
      <c r="B50" s="99"/>
      <c r="C50" s="80"/>
      <c r="D50" s="81"/>
      <c r="E50" s="81"/>
      <c r="F50" s="81"/>
      <c r="G50" s="81"/>
      <c r="H50" s="81"/>
      <c r="I50" s="80"/>
    </row>
    <row r="51" spans="1:9" ht="15" x14ac:dyDescent="0.25">
      <c r="A51" s="81"/>
      <c r="B51" s="99"/>
      <c r="C51" s="80"/>
      <c r="D51" s="81"/>
      <c r="E51" s="81"/>
      <c r="F51" s="81"/>
      <c r="G51" s="81"/>
      <c r="H51" s="81"/>
      <c r="I51" s="80"/>
    </row>
    <row r="52" spans="1:9" ht="15" x14ac:dyDescent="0.25">
      <c r="A52" s="81"/>
      <c r="B52" s="99"/>
      <c r="C52" s="80"/>
      <c r="D52" s="81"/>
      <c r="E52" s="81"/>
      <c r="F52" s="81"/>
      <c r="G52" s="81"/>
      <c r="H52" s="81"/>
      <c r="I52" s="80"/>
    </row>
    <row r="53" spans="1:9" ht="15" x14ac:dyDescent="0.25">
      <c r="A53" s="81"/>
      <c r="B53" s="99"/>
      <c r="C53" s="80"/>
      <c r="D53" s="81"/>
      <c r="E53" s="81"/>
      <c r="F53" s="81"/>
      <c r="G53" s="81"/>
      <c r="H53" s="81"/>
      <c r="I53" s="80"/>
    </row>
    <row r="54" spans="1:9" ht="15" x14ac:dyDescent="0.25">
      <c r="A54" s="81"/>
      <c r="B54" s="99"/>
      <c r="C54" s="80"/>
      <c r="D54" s="81"/>
      <c r="E54" s="81"/>
      <c r="F54" s="81"/>
      <c r="G54" s="81"/>
      <c r="H54" s="81"/>
      <c r="I54" s="80"/>
    </row>
    <row r="55" spans="1:9" ht="15" x14ac:dyDescent="0.25">
      <c r="A55" s="81"/>
      <c r="B55" s="99"/>
      <c r="C55" s="80"/>
      <c r="D55" s="81"/>
      <c r="E55" s="81"/>
      <c r="F55" s="81"/>
      <c r="G55" s="81"/>
      <c r="H55" s="81"/>
      <c r="I55" s="80"/>
    </row>
    <row r="56" spans="1:9" ht="15" x14ac:dyDescent="0.25">
      <c r="A56" s="81"/>
      <c r="B56" s="99"/>
      <c r="C56" s="80"/>
      <c r="D56" s="81"/>
      <c r="E56" s="81"/>
      <c r="F56" s="81"/>
      <c r="G56" s="81"/>
      <c r="H56" s="81"/>
      <c r="I56" s="80"/>
    </row>
    <row r="57" spans="1:9" ht="15" x14ac:dyDescent="0.25">
      <c r="A57" s="81"/>
      <c r="B57" s="99"/>
      <c r="C57" s="80"/>
      <c r="D57" s="81"/>
      <c r="E57" s="81"/>
      <c r="F57" s="81"/>
      <c r="G57" s="81"/>
      <c r="H57" s="81"/>
      <c r="I57" s="80"/>
    </row>
    <row r="58" spans="1:9" ht="15" x14ac:dyDescent="0.25">
      <c r="A58" s="81"/>
      <c r="B58" s="99"/>
      <c r="C58" s="80"/>
      <c r="D58" s="81"/>
      <c r="E58" s="81"/>
      <c r="F58" s="81"/>
      <c r="G58" s="81"/>
      <c r="H58" s="81"/>
      <c r="I58" s="80"/>
    </row>
    <row r="59" spans="1:9" ht="15" x14ac:dyDescent="0.25">
      <c r="A59" s="81"/>
      <c r="B59" s="99"/>
      <c r="C59" s="80"/>
      <c r="D59" s="81"/>
      <c r="E59" s="81"/>
      <c r="F59" s="81"/>
      <c r="G59" s="81"/>
      <c r="H59" s="81"/>
      <c r="I59" s="80"/>
    </row>
    <row r="60" spans="1:9" ht="15" x14ac:dyDescent="0.25">
      <c r="A60" s="81"/>
      <c r="B60" s="99"/>
      <c r="C60" s="80"/>
      <c r="D60" s="81"/>
      <c r="E60" s="81"/>
      <c r="F60" s="81"/>
      <c r="G60" s="81"/>
      <c r="H60" s="81"/>
      <c r="I60" s="80"/>
    </row>
    <row r="61" spans="1:9" ht="15" x14ac:dyDescent="0.25">
      <c r="A61" s="81"/>
      <c r="B61" s="99"/>
      <c r="C61" s="80"/>
      <c r="D61" s="81"/>
      <c r="E61" s="81"/>
      <c r="F61" s="81"/>
      <c r="G61" s="81"/>
      <c r="H61" s="81"/>
      <c r="I61" s="80"/>
    </row>
    <row r="62" spans="1:9" ht="15" x14ac:dyDescent="0.25">
      <c r="A62" s="81"/>
      <c r="B62" s="99"/>
      <c r="C62" s="80"/>
      <c r="D62" s="81"/>
      <c r="E62" s="81"/>
      <c r="F62" s="81"/>
      <c r="G62" s="81"/>
      <c r="H62" s="81"/>
      <c r="I62" s="80"/>
    </row>
    <row r="63" spans="1:9" ht="15" x14ac:dyDescent="0.25">
      <c r="A63" s="81"/>
      <c r="B63" s="99"/>
      <c r="C63" s="80"/>
      <c r="D63" s="81"/>
      <c r="E63" s="81"/>
      <c r="F63" s="81"/>
      <c r="G63" s="81"/>
      <c r="H63" s="81"/>
      <c r="I63" s="80"/>
    </row>
    <row r="64" spans="1:9" ht="15" x14ac:dyDescent="0.25">
      <c r="A64" s="81"/>
      <c r="B64" s="99"/>
      <c r="C64" s="80"/>
      <c r="D64" s="81"/>
      <c r="E64" s="81"/>
      <c r="F64" s="81"/>
      <c r="G64" s="81"/>
      <c r="H64" s="81"/>
      <c r="I64" s="80"/>
    </row>
    <row r="65" spans="1:9" ht="15" x14ac:dyDescent="0.25">
      <c r="A65" s="81"/>
      <c r="B65" s="99"/>
      <c r="C65" s="80"/>
      <c r="D65" s="81"/>
      <c r="E65" s="81"/>
      <c r="F65" s="81"/>
      <c r="G65" s="81"/>
      <c r="H65" s="81"/>
      <c r="I65" s="80"/>
    </row>
    <row r="66" spans="1:9" ht="15" x14ac:dyDescent="0.25">
      <c r="A66" s="81"/>
      <c r="B66" s="99"/>
      <c r="C66" s="80"/>
      <c r="D66" s="81"/>
      <c r="E66" s="81"/>
      <c r="F66" s="81"/>
      <c r="G66" s="81"/>
      <c r="H66" s="81"/>
      <c r="I66" s="80"/>
    </row>
    <row r="67" spans="1:9" ht="15" x14ac:dyDescent="0.25">
      <c r="A67" s="81"/>
      <c r="B67" s="99"/>
      <c r="C67" s="80"/>
      <c r="D67" s="81"/>
      <c r="E67" s="81"/>
      <c r="F67" s="81"/>
      <c r="G67" s="81"/>
      <c r="H67" s="81"/>
      <c r="I67" s="80"/>
    </row>
    <row r="68" spans="1:9" ht="15" x14ac:dyDescent="0.25">
      <c r="A68" s="81"/>
      <c r="B68" s="99"/>
      <c r="C68" s="80"/>
      <c r="D68" s="81"/>
      <c r="E68" s="81"/>
      <c r="F68" s="81"/>
      <c r="G68" s="81"/>
      <c r="H68" s="81"/>
      <c r="I68" s="80"/>
    </row>
    <row r="69" spans="1:9" ht="15" x14ac:dyDescent="0.25">
      <c r="A69" s="81"/>
      <c r="B69" s="99"/>
      <c r="C69" s="80"/>
      <c r="D69" s="81"/>
      <c r="E69" s="81"/>
      <c r="F69" s="81"/>
      <c r="G69" s="81"/>
      <c r="H69" s="81"/>
      <c r="I69" s="80"/>
    </row>
    <row r="70" spans="1:9" ht="15" x14ac:dyDescent="0.25">
      <c r="A70" s="81"/>
      <c r="B70" s="99"/>
      <c r="C70" s="80"/>
      <c r="D70" s="81"/>
      <c r="E70" s="81"/>
      <c r="F70" s="81"/>
      <c r="G70" s="81"/>
      <c r="H70" s="81"/>
      <c r="I70" s="80"/>
    </row>
    <row r="71" spans="1:9" ht="15" x14ac:dyDescent="0.25">
      <c r="A71" s="81"/>
      <c r="B71" s="99"/>
      <c r="C71" s="80"/>
      <c r="D71" s="81"/>
      <c r="E71" s="81"/>
      <c r="F71" s="81"/>
      <c r="G71" s="81"/>
      <c r="H71" s="81"/>
      <c r="I71" s="80"/>
    </row>
    <row r="72" spans="1:9" ht="15" x14ac:dyDescent="0.25">
      <c r="A72" s="81"/>
      <c r="B72" s="99"/>
      <c r="C72" s="80"/>
      <c r="D72" s="81"/>
      <c r="E72" s="81"/>
      <c r="F72" s="81"/>
      <c r="G72" s="81"/>
      <c r="H72" s="81"/>
      <c r="I72" s="80"/>
    </row>
    <row r="73" spans="1:9" ht="15" x14ac:dyDescent="0.25">
      <c r="A73" s="81"/>
      <c r="B73" s="99"/>
      <c r="C73" s="80"/>
      <c r="D73" s="81"/>
      <c r="E73" s="81"/>
      <c r="F73" s="81"/>
      <c r="G73" s="81"/>
      <c r="H73" s="81"/>
      <c r="I73" s="80"/>
    </row>
    <row r="74" spans="1:9" ht="15" x14ac:dyDescent="0.25">
      <c r="A74" s="81"/>
      <c r="B74" s="99"/>
      <c r="C74" s="80"/>
      <c r="D74" s="81"/>
      <c r="E74" s="81"/>
      <c r="F74" s="81"/>
      <c r="G74" s="81"/>
      <c r="H74" s="81"/>
      <c r="I74" s="80"/>
    </row>
    <row r="75" spans="1:9" ht="15" x14ac:dyDescent="0.25">
      <c r="A75" s="81"/>
      <c r="B75" s="99"/>
      <c r="C75" s="80"/>
      <c r="D75" s="81"/>
      <c r="E75" s="81"/>
      <c r="F75" s="81"/>
      <c r="G75" s="81"/>
      <c r="H75" s="81"/>
      <c r="I75" s="80"/>
    </row>
    <row r="76" spans="1:9" ht="15" x14ac:dyDescent="0.25">
      <c r="A76" s="81"/>
      <c r="B76" s="99"/>
      <c r="C76" s="80"/>
      <c r="D76" s="81"/>
      <c r="E76" s="81"/>
      <c r="F76" s="81"/>
      <c r="G76" s="81"/>
      <c r="H76" s="81"/>
      <c r="I76" s="80"/>
    </row>
    <row r="77" spans="1:9" ht="15" x14ac:dyDescent="0.25">
      <c r="A77" s="81"/>
      <c r="B77" s="99"/>
      <c r="C77" s="80"/>
      <c r="D77" s="81"/>
      <c r="E77" s="81"/>
      <c r="F77" s="81"/>
      <c r="G77" s="81"/>
      <c r="H77" s="81"/>
      <c r="I77" s="80"/>
    </row>
    <row r="78" spans="1:9" ht="15" x14ac:dyDescent="0.25">
      <c r="A78" s="81"/>
      <c r="B78" s="99"/>
      <c r="C78" s="80"/>
      <c r="D78" s="81"/>
      <c r="E78" s="81"/>
      <c r="F78" s="81"/>
      <c r="G78" s="81"/>
      <c r="H78" s="81"/>
      <c r="I78" s="80"/>
    </row>
    <row r="79" spans="1:9" ht="15" x14ac:dyDescent="0.25">
      <c r="A79" s="81"/>
      <c r="B79" s="99"/>
      <c r="C79" s="80"/>
      <c r="D79" s="81"/>
      <c r="E79" s="81"/>
      <c r="F79" s="81"/>
      <c r="G79" s="81"/>
      <c r="H79" s="81"/>
      <c r="I79" s="80"/>
    </row>
    <row r="80" spans="1:9" ht="15" x14ac:dyDescent="0.25">
      <c r="A80" s="81"/>
      <c r="B80" s="99"/>
      <c r="C80" s="80"/>
      <c r="D80" s="81"/>
      <c r="E80" s="81"/>
      <c r="F80" s="81"/>
      <c r="G80" s="81"/>
      <c r="H80" s="81"/>
      <c r="I80" s="80"/>
    </row>
    <row r="81" spans="1:9" ht="15" x14ac:dyDescent="0.25">
      <c r="A81" s="81"/>
      <c r="B81" s="99"/>
      <c r="C81" s="80"/>
      <c r="D81" s="81"/>
      <c r="E81" s="81"/>
      <c r="F81" s="81"/>
      <c r="G81" s="81"/>
      <c r="H81" s="81"/>
      <c r="I81" s="80"/>
    </row>
    <row r="82" spans="1:9" ht="15" x14ac:dyDescent="0.25">
      <c r="A82" s="81"/>
      <c r="B82" s="99"/>
      <c r="C82" s="80"/>
      <c r="D82" s="81"/>
      <c r="E82" s="81"/>
      <c r="F82" s="81"/>
      <c r="G82" s="81"/>
      <c r="H82" s="81"/>
      <c r="I82" s="80"/>
    </row>
    <row r="83" spans="1:9" ht="15" x14ac:dyDescent="0.25">
      <c r="A83" s="81"/>
      <c r="B83" s="99"/>
      <c r="C83" s="80"/>
      <c r="D83" s="81"/>
      <c r="E83" s="81"/>
      <c r="F83" s="81"/>
      <c r="G83" s="81"/>
      <c r="H83" s="81"/>
      <c r="I83" s="80"/>
    </row>
    <row r="84" spans="1:9" ht="15" x14ac:dyDescent="0.25">
      <c r="A84" s="81"/>
      <c r="B84" s="99"/>
      <c r="C84" s="80"/>
      <c r="D84" s="81"/>
      <c r="E84" s="81"/>
      <c r="F84" s="81"/>
      <c r="G84" s="81"/>
      <c r="H84" s="81"/>
      <c r="I84" s="80"/>
    </row>
    <row r="85" spans="1:9" ht="15" x14ac:dyDescent="0.25">
      <c r="A85" s="81"/>
      <c r="B85" s="99"/>
      <c r="C85" s="80"/>
      <c r="D85" s="81"/>
      <c r="E85" s="81"/>
      <c r="F85" s="81"/>
      <c r="G85" s="81"/>
      <c r="H85" s="81"/>
      <c r="I85" s="80"/>
    </row>
    <row r="86" spans="1:9" ht="15" x14ac:dyDescent="0.25">
      <c r="A86" s="81"/>
      <c r="B86" s="99"/>
      <c r="C86" s="80"/>
      <c r="D86" s="81"/>
      <c r="E86" s="81"/>
      <c r="F86" s="81"/>
      <c r="G86" s="81"/>
      <c r="H86" s="81"/>
      <c r="I86" s="80"/>
    </row>
    <row r="87" spans="1:9" ht="15" x14ac:dyDescent="0.25">
      <c r="A87" s="81"/>
      <c r="B87" s="99"/>
      <c r="C87" s="80"/>
      <c r="D87" s="81"/>
      <c r="E87" s="81"/>
      <c r="F87" s="81"/>
      <c r="G87" s="81"/>
      <c r="H87" s="81"/>
      <c r="I87" s="80"/>
    </row>
    <row r="88" spans="1:9" ht="15" x14ac:dyDescent="0.25">
      <c r="A88" s="81"/>
      <c r="B88" s="99"/>
      <c r="C88" s="80"/>
      <c r="D88" s="81"/>
      <c r="E88" s="81"/>
      <c r="F88" s="81"/>
      <c r="G88" s="81"/>
      <c r="H88" s="81"/>
      <c r="I88" s="80"/>
    </row>
    <row r="89" spans="1:9" ht="15" x14ac:dyDescent="0.25">
      <c r="A89" s="81"/>
      <c r="B89" s="99"/>
      <c r="C89" s="80"/>
      <c r="D89" s="81"/>
      <c r="E89" s="81"/>
      <c r="F89" s="81"/>
      <c r="G89" s="81"/>
      <c r="H89" s="81"/>
      <c r="I89" s="80"/>
    </row>
    <row r="90" spans="1:9" ht="15" x14ac:dyDescent="0.25">
      <c r="A90" s="81"/>
      <c r="B90" s="99"/>
      <c r="C90" s="80"/>
      <c r="D90" s="81"/>
      <c r="E90" s="81"/>
      <c r="F90" s="81"/>
      <c r="G90" s="81"/>
      <c r="H90" s="81"/>
      <c r="I90" s="80"/>
    </row>
    <row r="91" spans="1:9" ht="15" x14ac:dyDescent="0.25">
      <c r="A91" s="81"/>
      <c r="B91" s="99"/>
      <c r="C91" s="80"/>
      <c r="D91" s="81"/>
      <c r="E91" s="81"/>
      <c r="F91" s="81"/>
      <c r="G91" s="81"/>
      <c r="H91" s="81"/>
      <c r="I91" s="80"/>
    </row>
    <row r="92" spans="1:9" ht="15" x14ac:dyDescent="0.25">
      <c r="A92" s="81"/>
      <c r="B92" s="99"/>
      <c r="C92" s="80"/>
      <c r="D92" s="81"/>
      <c r="E92" s="81"/>
      <c r="F92" s="81"/>
      <c r="G92" s="81"/>
      <c r="H92" s="81"/>
      <c r="I92" s="80"/>
    </row>
    <row r="93" spans="1:9" ht="15" x14ac:dyDescent="0.25">
      <c r="A93" s="81"/>
      <c r="B93" s="99"/>
      <c r="C93" s="80"/>
      <c r="D93" s="81"/>
      <c r="E93" s="81"/>
      <c r="F93" s="81"/>
      <c r="G93" s="81"/>
      <c r="H93" s="81"/>
      <c r="I93" s="80"/>
    </row>
    <row r="94" spans="1:9" ht="15" x14ac:dyDescent="0.25">
      <c r="A94" s="81"/>
      <c r="B94" s="99"/>
      <c r="C94" s="80"/>
      <c r="D94" s="81"/>
      <c r="E94" s="81"/>
      <c r="F94" s="81"/>
      <c r="G94" s="81"/>
      <c r="H94" s="81"/>
      <c r="I94" s="80"/>
    </row>
    <row r="95" spans="1:9" ht="15" x14ac:dyDescent="0.25">
      <c r="A95" s="81"/>
      <c r="B95" s="99"/>
      <c r="C95" s="80"/>
      <c r="D95" s="81"/>
      <c r="E95" s="81"/>
      <c r="F95" s="81"/>
      <c r="G95" s="81"/>
      <c r="H95" s="81"/>
      <c r="I95" s="80"/>
    </row>
    <row r="96" spans="1:9" ht="15" x14ac:dyDescent="0.25">
      <c r="A96" s="81"/>
      <c r="B96" s="99"/>
      <c r="C96" s="80"/>
      <c r="D96" s="81"/>
      <c r="E96" s="81"/>
      <c r="F96" s="81"/>
      <c r="G96" s="81"/>
      <c r="H96" s="81"/>
      <c r="I96" s="80"/>
    </row>
    <row r="97" spans="1:9" ht="15" x14ac:dyDescent="0.25">
      <c r="A97" s="81"/>
      <c r="B97" s="99"/>
      <c r="C97" s="80"/>
      <c r="D97" s="81"/>
      <c r="E97" s="81"/>
      <c r="F97" s="81"/>
      <c r="G97" s="81"/>
      <c r="H97" s="81"/>
      <c r="I97" s="80"/>
    </row>
    <row r="98" spans="1:9" ht="15" x14ac:dyDescent="0.25">
      <c r="A98" s="81"/>
      <c r="B98" s="99"/>
      <c r="C98" s="80"/>
      <c r="D98" s="81"/>
      <c r="E98" s="81"/>
      <c r="F98" s="81"/>
      <c r="G98" s="81"/>
      <c r="H98" s="81"/>
      <c r="I98" s="80"/>
    </row>
    <row r="99" spans="1:9" ht="15" x14ac:dyDescent="0.25">
      <c r="A99" s="81"/>
      <c r="B99" s="99"/>
      <c r="C99" s="80"/>
      <c r="D99" s="81"/>
      <c r="E99" s="81"/>
      <c r="F99" s="81"/>
      <c r="G99" s="81"/>
      <c r="H99" s="81"/>
      <c r="I99" s="80"/>
    </row>
    <row r="100" spans="1:9" ht="15" x14ac:dyDescent="0.25">
      <c r="A100" s="81"/>
      <c r="B100" s="99"/>
      <c r="C100" s="80"/>
      <c r="D100" s="81"/>
      <c r="E100" s="81"/>
      <c r="F100" s="81"/>
      <c r="G100" s="81"/>
      <c r="H100" s="81"/>
      <c r="I100" s="80"/>
    </row>
    <row r="101" spans="1:9" ht="15" x14ac:dyDescent="0.25">
      <c r="A101" s="81"/>
      <c r="B101" s="99"/>
      <c r="C101" s="80"/>
      <c r="D101" s="81"/>
      <c r="E101" s="81"/>
      <c r="F101" s="81"/>
      <c r="G101" s="81"/>
      <c r="H101" s="81"/>
      <c r="I101" s="80"/>
    </row>
    <row r="102" spans="1:9" ht="15" x14ac:dyDescent="0.25">
      <c r="A102" s="81"/>
      <c r="B102" s="99"/>
      <c r="C102" s="80"/>
      <c r="D102" s="81"/>
      <c r="E102" s="81"/>
      <c r="F102" s="81"/>
      <c r="G102" s="81"/>
      <c r="H102" s="81"/>
      <c r="I102" s="80"/>
    </row>
    <row r="103" spans="1:9" ht="15" x14ac:dyDescent="0.25">
      <c r="A103" s="81"/>
      <c r="B103" s="99"/>
      <c r="C103" s="80"/>
      <c r="D103" s="81"/>
      <c r="E103" s="81"/>
      <c r="F103" s="81"/>
      <c r="G103" s="81"/>
      <c r="H103" s="81"/>
      <c r="I103" s="80"/>
    </row>
    <row r="104" spans="1:9" ht="15" x14ac:dyDescent="0.25">
      <c r="A104" s="81"/>
      <c r="B104" s="99"/>
      <c r="C104" s="80"/>
      <c r="D104" s="81"/>
      <c r="E104" s="81"/>
      <c r="F104" s="81"/>
      <c r="G104" s="81"/>
      <c r="H104" s="81"/>
      <c r="I104" s="80"/>
    </row>
    <row r="105" spans="1:9" ht="15" x14ac:dyDescent="0.25">
      <c r="A105" s="81"/>
      <c r="B105" s="99"/>
      <c r="C105" s="80"/>
      <c r="D105" s="81"/>
      <c r="E105" s="81"/>
      <c r="F105" s="81"/>
      <c r="G105" s="81"/>
      <c r="H105" s="81"/>
      <c r="I105" s="80"/>
    </row>
    <row r="106" spans="1:9" ht="15" x14ac:dyDescent="0.25">
      <c r="A106" s="81"/>
      <c r="B106" s="99"/>
      <c r="C106" s="80"/>
      <c r="D106" s="81"/>
      <c r="E106" s="81"/>
      <c r="F106" s="81"/>
      <c r="G106" s="81"/>
      <c r="H106" s="81"/>
      <c r="I106" s="80"/>
    </row>
    <row r="107" spans="1:9" ht="15" x14ac:dyDescent="0.25">
      <c r="A107" s="81"/>
      <c r="B107" s="99"/>
      <c r="C107" s="80"/>
      <c r="D107" s="81"/>
      <c r="E107" s="81"/>
      <c r="F107" s="81"/>
      <c r="G107" s="81"/>
      <c r="H107" s="81"/>
      <c r="I107" s="80"/>
    </row>
    <row r="108" spans="1:9" ht="15" x14ac:dyDescent="0.25">
      <c r="A108" s="81"/>
      <c r="B108" s="99"/>
      <c r="C108" s="80"/>
      <c r="D108" s="81"/>
      <c r="E108" s="81"/>
      <c r="F108" s="81"/>
      <c r="G108" s="81"/>
      <c r="H108" s="81"/>
      <c r="I108" s="80"/>
    </row>
    <row r="109" spans="1:9" ht="15" x14ac:dyDescent="0.25">
      <c r="A109" s="81"/>
      <c r="B109" s="99"/>
      <c r="C109" s="80"/>
      <c r="D109" s="81"/>
      <c r="E109" s="81"/>
      <c r="F109" s="81"/>
      <c r="G109" s="81"/>
      <c r="H109" s="81"/>
      <c r="I109" s="80"/>
    </row>
    <row r="110" spans="1:9" ht="15" x14ac:dyDescent="0.25">
      <c r="A110" s="81"/>
      <c r="B110" s="99"/>
      <c r="C110" s="80"/>
      <c r="D110" s="81"/>
      <c r="E110" s="81"/>
      <c r="F110" s="81"/>
      <c r="G110" s="81"/>
      <c r="H110" s="81"/>
      <c r="I110" s="80"/>
    </row>
    <row r="111" spans="1:9" ht="15" x14ac:dyDescent="0.25">
      <c r="A111" s="81"/>
      <c r="B111" s="99"/>
      <c r="C111" s="80"/>
      <c r="D111" s="81"/>
      <c r="E111" s="81"/>
      <c r="F111" s="81"/>
      <c r="G111" s="81"/>
      <c r="H111" s="81"/>
      <c r="I111" s="80"/>
    </row>
    <row r="112" spans="1:9" ht="15" x14ac:dyDescent="0.25">
      <c r="A112" s="81"/>
      <c r="B112" s="99"/>
      <c r="C112" s="80"/>
      <c r="D112" s="81"/>
      <c r="E112" s="81"/>
      <c r="F112" s="81"/>
      <c r="G112" s="81"/>
      <c r="H112" s="81"/>
      <c r="I112" s="80"/>
    </row>
    <row r="113" spans="1:9" ht="15" x14ac:dyDescent="0.25">
      <c r="A113" s="81"/>
      <c r="B113" s="99"/>
      <c r="C113" s="80"/>
      <c r="D113" s="81"/>
      <c r="E113" s="81"/>
      <c r="F113" s="81"/>
      <c r="G113" s="81"/>
      <c r="H113" s="81"/>
      <c r="I113" s="80"/>
    </row>
    <row r="114" spans="1:9" ht="15" x14ac:dyDescent="0.25">
      <c r="A114" s="81"/>
      <c r="B114" s="99"/>
      <c r="C114" s="80"/>
      <c r="D114" s="81"/>
      <c r="E114" s="81"/>
      <c r="F114" s="81"/>
      <c r="G114" s="81"/>
      <c r="H114" s="81"/>
      <c r="I114" s="80"/>
    </row>
    <row r="115" spans="1:9" ht="15" x14ac:dyDescent="0.25">
      <c r="A115" s="81"/>
      <c r="B115" s="99"/>
      <c r="C115" s="80"/>
      <c r="D115" s="81"/>
      <c r="E115" s="81"/>
      <c r="F115" s="81"/>
      <c r="G115" s="81"/>
      <c r="H115" s="81"/>
      <c r="I115" s="80"/>
    </row>
    <row r="116" spans="1:9" ht="15" x14ac:dyDescent="0.25">
      <c r="A116" s="81"/>
      <c r="B116" s="99"/>
      <c r="C116" s="80"/>
      <c r="D116" s="81"/>
      <c r="E116" s="81"/>
      <c r="F116" s="81"/>
      <c r="G116" s="81"/>
      <c r="H116" s="81"/>
      <c r="I116" s="80"/>
    </row>
    <row r="117" spans="1:9" ht="15" x14ac:dyDescent="0.25">
      <c r="A117" s="81"/>
      <c r="B117" s="99"/>
      <c r="C117" s="80"/>
      <c r="D117" s="81"/>
      <c r="E117" s="81"/>
      <c r="F117" s="81"/>
      <c r="G117" s="81"/>
      <c r="H117" s="81"/>
      <c r="I117" s="80"/>
    </row>
    <row r="118" spans="1:9" ht="15" x14ac:dyDescent="0.25">
      <c r="A118" s="81"/>
      <c r="B118" s="99"/>
      <c r="C118" s="80"/>
      <c r="D118" s="81"/>
      <c r="E118" s="81"/>
      <c r="F118" s="81"/>
      <c r="G118" s="81"/>
      <c r="H118" s="81"/>
      <c r="I118" s="80"/>
    </row>
    <row r="119" spans="1:9" ht="15" x14ac:dyDescent="0.25">
      <c r="A119" s="81"/>
      <c r="B119" s="99"/>
      <c r="C119" s="80"/>
      <c r="D119" s="81"/>
      <c r="E119" s="81"/>
      <c r="F119" s="81"/>
      <c r="G119" s="81"/>
      <c r="H119" s="81"/>
      <c r="I119" s="80"/>
    </row>
    <row r="120" spans="1:9" ht="15" x14ac:dyDescent="0.25">
      <c r="A120" s="81"/>
      <c r="B120" s="99"/>
      <c r="C120" s="80"/>
      <c r="D120" s="81"/>
      <c r="E120" s="81"/>
      <c r="F120" s="81"/>
      <c r="G120" s="81"/>
      <c r="H120" s="81"/>
      <c r="I120" s="80"/>
    </row>
    <row r="121" spans="1:9" ht="15" x14ac:dyDescent="0.25">
      <c r="A121" s="81"/>
      <c r="B121" s="99"/>
      <c r="C121" s="80"/>
      <c r="D121" s="81"/>
      <c r="E121" s="81"/>
      <c r="F121" s="81"/>
      <c r="G121" s="81"/>
      <c r="H121" s="81"/>
      <c r="I121" s="80"/>
    </row>
    <row r="122" spans="1:9" ht="15" x14ac:dyDescent="0.25">
      <c r="A122" s="81"/>
      <c r="B122" s="99"/>
      <c r="C122" s="80"/>
      <c r="D122" s="81"/>
      <c r="E122" s="81"/>
      <c r="F122" s="81"/>
      <c r="G122" s="81"/>
      <c r="H122" s="81"/>
      <c r="I122" s="80"/>
    </row>
    <row r="123" spans="1:9" ht="15" x14ac:dyDescent="0.25">
      <c r="A123" s="81"/>
      <c r="B123" s="99"/>
      <c r="C123" s="80"/>
      <c r="D123" s="81"/>
      <c r="E123" s="81"/>
      <c r="F123" s="81"/>
      <c r="G123" s="81"/>
      <c r="H123" s="81"/>
      <c r="I123" s="80"/>
    </row>
    <row r="124" spans="1:9" ht="15" x14ac:dyDescent="0.25">
      <c r="A124" s="81"/>
      <c r="B124" s="99"/>
      <c r="C124" s="80"/>
      <c r="D124" s="81"/>
      <c r="E124" s="81"/>
      <c r="F124" s="81"/>
      <c r="G124" s="81"/>
      <c r="H124" s="81"/>
      <c r="I124" s="80"/>
    </row>
    <row r="125" spans="1:9" ht="15" x14ac:dyDescent="0.25">
      <c r="A125" s="81"/>
      <c r="B125" s="99"/>
      <c r="C125" s="80"/>
      <c r="D125" s="81"/>
      <c r="E125" s="81"/>
      <c r="F125" s="81"/>
      <c r="G125" s="81"/>
      <c r="H125" s="81"/>
      <c r="I125" s="80"/>
    </row>
    <row r="126" spans="1:9" ht="15" x14ac:dyDescent="0.25">
      <c r="A126" s="81"/>
      <c r="B126" s="99"/>
      <c r="C126" s="80"/>
      <c r="D126" s="81"/>
      <c r="E126" s="81"/>
      <c r="F126" s="81"/>
      <c r="G126" s="81"/>
      <c r="H126" s="81"/>
      <c r="I126" s="80"/>
    </row>
    <row r="127" spans="1:9" ht="15" x14ac:dyDescent="0.25">
      <c r="A127" s="81"/>
      <c r="B127" s="99"/>
      <c r="C127" s="80"/>
      <c r="D127" s="81"/>
      <c r="E127" s="81"/>
      <c r="F127" s="81"/>
      <c r="G127" s="81"/>
      <c r="H127" s="81"/>
      <c r="I127" s="80"/>
    </row>
    <row r="128" spans="1:9" ht="15" x14ac:dyDescent="0.25">
      <c r="A128" s="81"/>
      <c r="B128" s="99"/>
      <c r="C128" s="80"/>
      <c r="D128" s="81"/>
      <c r="E128" s="81"/>
      <c r="F128" s="81"/>
      <c r="G128" s="81"/>
      <c r="H128" s="81"/>
      <c r="I128" s="80"/>
    </row>
    <row r="129" spans="1:9" ht="15" x14ac:dyDescent="0.25">
      <c r="A129" s="81"/>
      <c r="B129" s="99"/>
      <c r="C129" s="80"/>
      <c r="D129" s="81"/>
      <c r="E129" s="81"/>
      <c r="F129" s="81"/>
      <c r="G129" s="81"/>
      <c r="H129" s="81"/>
      <c r="I129" s="80"/>
    </row>
    <row r="130" spans="1:9" ht="15" x14ac:dyDescent="0.25">
      <c r="A130" s="81"/>
      <c r="B130" s="99"/>
      <c r="C130" s="80"/>
      <c r="D130" s="81"/>
      <c r="E130" s="81"/>
      <c r="F130" s="81"/>
      <c r="G130" s="81"/>
      <c r="H130" s="81"/>
      <c r="I130" s="80"/>
    </row>
    <row r="131" spans="1:9" ht="15" x14ac:dyDescent="0.25">
      <c r="A131" s="81"/>
      <c r="B131" s="99"/>
      <c r="C131" s="80"/>
      <c r="D131" s="81"/>
      <c r="E131" s="81"/>
      <c r="F131" s="81"/>
      <c r="G131" s="81"/>
      <c r="H131" s="81"/>
      <c r="I131" s="80"/>
    </row>
    <row r="132" spans="1:9" ht="15" x14ac:dyDescent="0.25">
      <c r="A132" s="81"/>
      <c r="B132" s="99"/>
      <c r="C132" s="80"/>
      <c r="D132" s="81"/>
      <c r="E132" s="81"/>
      <c r="F132" s="81"/>
      <c r="G132" s="81"/>
      <c r="H132" s="81"/>
      <c r="I132" s="80"/>
    </row>
    <row r="133" spans="1:9" ht="15" x14ac:dyDescent="0.25">
      <c r="A133" s="81"/>
      <c r="B133" s="99"/>
      <c r="C133" s="80"/>
      <c r="D133" s="81"/>
      <c r="E133" s="81"/>
      <c r="F133" s="81"/>
      <c r="G133" s="81"/>
      <c r="H133" s="81"/>
      <c r="I133" s="80"/>
    </row>
    <row r="134" spans="1:9" ht="15" x14ac:dyDescent="0.25">
      <c r="A134" s="81"/>
      <c r="B134" s="99"/>
      <c r="C134" s="80"/>
      <c r="D134" s="81"/>
      <c r="E134" s="81"/>
      <c r="F134" s="81"/>
      <c r="G134" s="81"/>
      <c r="H134" s="81"/>
      <c r="I134" s="80"/>
    </row>
    <row r="135" spans="1:9" ht="15" x14ac:dyDescent="0.25">
      <c r="A135" s="81"/>
      <c r="B135" s="99"/>
      <c r="C135" s="80"/>
      <c r="D135" s="81"/>
      <c r="E135" s="81"/>
      <c r="F135" s="81"/>
      <c r="G135" s="81"/>
      <c r="H135" s="81"/>
      <c r="I135" s="80"/>
    </row>
    <row r="136" spans="1:9" ht="15" x14ac:dyDescent="0.25">
      <c r="A136" s="81"/>
      <c r="B136" s="99"/>
      <c r="C136" s="80"/>
      <c r="D136" s="81"/>
      <c r="E136" s="81"/>
      <c r="F136" s="81"/>
      <c r="G136" s="81"/>
      <c r="H136" s="81"/>
      <c r="I136" s="80"/>
    </row>
    <row r="137" spans="1:9" ht="15" x14ac:dyDescent="0.25">
      <c r="A137" s="81"/>
      <c r="B137" s="99"/>
      <c r="C137" s="80"/>
      <c r="D137" s="81"/>
      <c r="E137" s="81"/>
      <c r="F137" s="81"/>
      <c r="G137" s="81"/>
      <c r="H137" s="81"/>
      <c r="I137" s="80"/>
    </row>
    <row r="138" spans="1:9" ht="15" x14ac:dyDescent="0.25">
      <c r="A138" s="81"/>
      <c r="B138" s="99"/>
      <c r="C138" s="80"/>
      <c r="D138" s="81"/>
      <c r="E138" s="81"/>
      <c r="F138" s="81"/>
      <c r="G138" s="81"/>
      <c r="H138" s="81"/>
      <c r="I138" s="80"/>
    </row>
    <row r="139" spans="1:9" ht="15" x14ac:dyDescent="0.25">
      <c r="A139" s="81"/>
      <c r="B139" s="99"/>
      <c r="C139" s="80"/>
      <c r="D139" s="81"/>
      <c r="E139" s="81"/>
      <c r="F139" s="81"/>
      <c r="G139" s="81"/>
      <c r="H139" s="81"/>
      <c r="I139" s="80"/>
    </row>
    <row r="140" spans="1:9" ht="15" x14ac:dyDescent="0.25">
      <c r="A140" s="81"/>
      <c r="B140" s="99"/>
      <c r="C140" s="80"/>
      <c r="D140" s="81"/>
      <c r="E140" s="81"/>
      <c r="F140" s="81"/>
      <c r="G140" s="81"/>
      <c r="H140" s="81"/>
      <c r="I140" s="80"/>
    </row>
    <row r="141" spans="1:9" ht="15" x14ac:dyDescent="0.25">
      <c r="A141" s="81"/>
      <c r="B141" s="99"/>
      <c r="C141" s="80"/>
      <c r="D141" s="81"/>
      <c r="E141" s="81"/>
      <c r="F141" s="81"/>
      <c r="G141" s="81"/>
      <c r="H141" s="81"/>
      <c r="I141" s="80"/>
    </row>
    <row r="142" spans="1:9" ht="15" x14ac:dyDescent="0.25">
      <c r="A142" s="81"/>
      <c r="B142" s="99"/>
      <c r="C142" s="80"/>
      <c r="D142" s="81"/>
      <c r="E142" s="81"/>
      <c r="F142" s="81"/>
      <c r="G142" s="81"/>
      <c r="H142" s="81"/>
      <c r="I142" s="80"/>
    </row>
    <row r="143" spans="1:9" ht="15" x14ac:dyDescent="0.25">
      <c r="A143" s="81"/>
      <c r="B143" s="99"/>
      <c r="C143" s="80"/>
      <c r="D143" s="81"/>
      <c r="E143" s="81"/>
      <c r="F143" s="81"/>
      <c r="G143" s="81"/>
      <c r="H143" s="81"/>
      <c r="I143" s="80"/>
    </row>
    <row r="144" spans="1:9" ht="15" x14ac:dyDescent="0.25">
      <c r="A144" s="81"/>
      <c r="B144" s="99"/>
      <c r="C144" s="80"/>
      <c r="D144" s="81"/>
      <c r="E144" s="81"/>
      <c r="F144" s="81"/>
      <c r="G144" s="81"/>
      <c r="H144" s="81"/>
      <c r="I144" s="80"/>
    </row>
    <row r="145" spans="1:9" ht="15" x14ac:dyDescent="0.25">
      <c r="A145" s="81"/>
      <c r="B145" s="99"/>
      <c r="C145" s="80"/>
      <c r="D145" s="81"/>
      <c r="E145" s="81"/>
      <c r="F145" s="81"/>
      <c r="G145" s="81"/>
      <c r="H145" s="81"/>
      <c r="I145" s="80"/>
    </row>
    <row r="146" spans="1:9" ht="15" x14ac:dyDescent="0.25">
      <c r="A146" s="81"/>
      <c r="B146" s="99"/>
      <c r="C146" s="80"/>
      <c r="D146" s="81"/>
      <c r="E146" s="81"/>
      <c r="F146" s="81"/>
      <c r="G146" s="81"/>
      <c r="H146" s="81"/>
      <c r="I146" s="80"/>
    </row>
    <row r="147" spans="1:9" ht="15" x14ac:dyDescent="0.25">
      <c r="A147" s="81"/>
      <c r="B147" s="99"/>
      <c r="C147" s="80"/>
      <c r="D147" s="81"/>
      <c r="E147" s="81"/>
      <c r="F147" s="81"/>
      <c r="G147" s="81"/>
      <c r="H147" s="81"/>
      <c r="I147" s="80"/>
    </row>
    <row r="148" spans="1:9" ht="15" x14ac:dyDescent="0.25">
      <c r="A148" s="81"/>
      <c r="B148" s="99"/>
      <c r="C148" s="80"/>
      <c r="D148" s="81"/>
      <c r="E148" s="81"/>
      <c r="F148" s="81"/>
      <c r="G148" s="81"/>
      <c r="H148" s="81"/>
      <c r="I148" s="80"/>
    </row>
    <row r="149" spans="1:9" ht="15" x14ac:dyDescent="0.25">
      <c r="A149" s="81"/>
      <c r="B149" s="99"/>
      <c r="C149" s="80"/>
      <c r="D149" s="81"/>
      <c r="E149" s="81"/>
      <c r="F149" s="81"/>
      <c r="G149" s="81"/>
      <c r="H149" s="81"/>
      <c r="I149" s="80"/>
    </row>
    <row r="150" spans="1:9" ht="15" x14ac:dyDescent="0.25">
      <c r="A150" s="81"/>
      <c r="B150" s="99"/>
      <c r="C150" s="80"/>
      <c r="D150" s="81"/>
      <c r="E150" s="81"/>
      <c r="F150" s="81"/>
      <c r="G150" s="81"/>
      <c r="H150" s="81"/>
      <c r="I150" s="80"/>
    </row>
    <row r="151" spans="1:9" ht="15" x14ac:dyDescent="0.25">
      <c r="A151" s="81"/>
      <c r="B151" s="99"/>
      <c r="C151" s="80"/>
      <c r="D151" s="81"/>
      <c r="E151" s="81"/>
      <c r="F151" s="81"/>
      <c r="G151" s="81"/>
      <c r="H151" s="81"/>
      <c r="I151" s="80"/>
    </row>
    <row r="152" spans="1:9" ht="15" x14ac:dyDescent="0.25">
      <c r="A152" s="81"/>
      <c r="B152" s="99"/>
      <c r="C152" s="80"/>
      <c r="D152" s="81"/>
      <c r="E152" s="81"/>
      <c r="F152" s="81"/>
      <c r="G152" s="81"/>
      <c r="H152" s="81"/>
      <c r="I152" s="80"/>
    </row>
    <row r="153" spans="1:9" ht="15" x14ac:dyDescent="0.25">
      <c r="A153" s="81"/>
      <c r="B153" s="99"/>
      <c r="C153" s="80"/>
      <c r="D153" s="81"/>
      <c r="E153" s="81"/>
      <c r="F153" s="81"/>
      <c r="G153" s="81"/>
      <c r="H153" s="81"/>
      <c r="I153" s="80"/>
    </row>
    <row r="154" spans="1:9" ht="15" x14ac:dyDescent="0.25">
      <c r="A154" s="81"/>
      <c r="B154" s="99"/>
      <c r="C154" s="80"/>
      <c r="D154" s="81"/>
      <c r="E154" s="81"/>
      <c r="F154" s="81"/>
      <c r="G154" s="81"/>
      <c r="H154" s="81"/>
      <c r="I154" s="80"/>
    </row>
    <row r="155" spans="1:9" ht="15" x14ac:dyDescent="0.25">
      <c r="A155" s="81"/>
      <c r="B155" s="99"/>
      <c r="C155" s="80"/>
      <c r="D155" s="81"/>
      <c r="E155" s="81"/>
      <c r="F155" s="81"/>
      <c r="G155" s="81"/>
      <c r="H155" s="81"/>
      <c r="I155" s="80"/>
    </row>
    <row r="156" spans="1:9" ht="15" x14ac:dyDescent="0.25">
      <c r="A156" s="81"/>
      <c r="B156" s="99"/>
      <c r="C156" s="80"/>
      <c r="D156" s="81"/>
      <c r="E156" s="81"/>
      <c r="F156" s="81"/>
      <c r="G156" s="81"/>
      <c r="H156" s="81"/>
      <c r="I156" s="80"/>
    </row>
    <row r="157" spans="1:9" ht="15" x14ac:dyDescent="0.25">
      <c r="A157" s="81"/>
      <c r="B157" s="99"/>
      <c r="C157" s="80"/>
      <c r="D157" s="81"/>
      <c r="E157" s="81"/>
      <c r="F157" s="81"/>
      <c r="G157" s="81"/>
      <c r="H157" s="81"/>
      <c r="I157" s="80"/>
    </row>
    <row r="158" spans="1:9" ht="15" x14ac:dyDescent="0.25">
      <c r="A158" s="81"/>
      <c r="B158" s="99"/>
      <c r="C158" s="80"/>
      <c r="D158" s="81"/>
      <c r="E158" s="81"/>
      <c r="F158" s="81"/>
      <c r="G158" s="81"/>
      <c r="H158" s="81"/>
      <c r="I158" s="80"/>
    </row>
    <row r="159" spans="1:9" ht="15" x14ac:dyDescent="0.25">
      <c r="A159" s="81"/>
      <c r="B159" s="99"/>
      <c r="C159" s="80"/>
      <c r="D159" s="81"/>
      <c r="E159" s="81"/>
      <c r="F159" s="81"/>
      <c r="G159" s="81"/>
      <c r="H159" s="81"/>
      <c r="I159" s="80"/>
    </row>
    <row r="160" spans="1:9" ht="15" x14ac:dyDescent="0.25">
      <c r="A160" s="81"/>
      <c r="B160" s="99"/>
      <c r="C160" s="80"/>
      <c r="D160" s="81"/>
      <c r="E160" s="81"/>
      <c r="F160" s="81"/>
      <c r="G160" s="81"/>
      <c r="H160" s="81"/>
      <c r="I160" s="80"/>
    </row>
    <row r="161" spans="1:9" ht="15" x14ac:dyDescent="0.25">
      <c r="A161" s="81"/>
      <c r="B161" s="99"/>
      <c r="C161" s="80"/>
      <c r="D161" s="81"/>
      <c r="E161" s="81"/>
      <c r="F161" s="81"/>
      <c r="G161" s="81"/>
      <c r="H161" s="81"/>
      <c r="I161" s="80"/>
    </row>
    <row r="162" spans="1:9" ht="15" x14ac:dyDescent="0.25">
      <c r="A162" s="81"/>
      <c r="B162" s="99"/>
      <c r="C162" s="80"/>
      <c r="D162" s="81"/>
      <c r="E162" s="81"/>
      <c r="F162" s="81"/>
      <c r="G162" s="81"/>
      <c r="H162" s="81"/>
      <c r="I162" s="80"/>
    </row>
    <row r="163" spans="1:9" ht="15" x14ac:dyDescent="0.25">
      <c r="A163" s="81"/>
      <c r="B163" s="99"/>
      <c r="C163" s="80"/>
      <c r="D163" s="81"/>
      <c r="E163" s="81"/>
      <c r="F163" s="81"/>
      <c r="G163" s="81"/>
      <c r="H163" s="81"/>
      <c r="I163" s="80"/>
    </row>
    <row r="164" spans="1:9" ht="15" x14ac:dyDescent="0.25">
      <c r="A164" s="81"/>
      <c r="B164" s="99"/>
      <c r="C164" s="80"/>
      <c r="D164" s="81"/>
      <c r="E164" s="81"/>
      <c r="F164" s="81"/>
      <c r="G164" s="81"/>
      <c r="H164" s="81"/>
      <c r="I164" s="80"/>
    </row>
    <row r="165" spans="1:9" ht="15" x14ac:dyDescent="0.25">
      <c r="A165" s="81"/>
      <c r="B165" s="99"/>
      <c r="C165" s="80"/>
      <c r="D165" s="81"/>
      <c r="E165" s="81"/>
      <c r="F165" s="81"/>
      <c r="G165" s="81"/>
      <c r="H165" s="81"/>
      <c r="I165" s="80"/>
    </row>
    <row r="166" spans="1:9" ht="15" x14ac:dyDescent="0.25">
      <c r="A166" s="81"/>
      <c r="B166" s="99"/>
      <c r="C166" s="80"/>
      <c r="D166" s="81"/>
      <c r="E166" s="81"/>
      <c r="F166" s="81"/>
      <c r="G166" s="81"/>
      <c r="H166" s="81"/>
      <c r="I166" s="80"/>
    </row>
    <row r="167" spans="1:9" ht="15" x14ac:dyDescent="0.25">
      <c r="A167" s="81"/>
      <c r="B167" s="99"/>
      <c r="C167" s="80"/>
      <c r="D167" s="81"/>
      <c r="E167" s="81"/>
      <c r="F167" s="81"/>
      <c r="G167" s="81"/>
      <c r="H167" s="81"/>
      <c r="I167" s="80"/>
    </row>
    <row r="168" spans="1:9" ht="15" x14ac:dyDescent="0.25">
      <c r="A168" s="81"/>
      <c r="B168" s="99"/>
      <c r="C168" s="80"/>
      <c r="D168" s="81"/>
      <c r="E168" s="81"/>
      <c r="F168" s="81"/>
      <c r="G168" s="81"/>
      <c r="H168" s="81"/>
      <c r="I168" s="80"/>
    </row>
    <row r="169" spans="1:9" ht="15" x14ac:dyDescent="0.25">
      <c r="A169" s="81"/>
      <c r="B169" s="99"/>
      <c r="C169" s="80"/>
      <c r="D169" s="81"/>
      <c r="E169" s="81"/>
      <c r="F169" s="81"/>
      <c r="G169" s="81"/>
      <c r="H169" s="81"/>
      <c r="I169" s="80"/>
    </row>
    <row r="170" spans="1:9" ht="15" x14ac:dyDescent="0.25">
      <c r="A170" s="81"/>
      <c r="B170" s="99"/>
      <c r="C170" s="80"/>
      <c r="D170" s="81"/>
      <c r="E170" s="81"/>
      <c r="F170" s="81"/>
      <c r="G170" s="81"/>
      <c r="H170" s="81"/>
      <c r="I170" s="80"/>
    </row>
    <row r="171" spans="1:9" ht="15" x14ac:dyDescent="0.25">
      <c r="A171" s="81"/>
      <c r="B171" s="99"/>
      <c r="C171" s="80"/>
      <c r="D171" s="81"/>
      <c r="E171" s="81"/>
      <c r="F171" s="81"/>
      <c r="G171" s="81"/>
      <c r="H171" s="81"/>
      <c r="I171" s="80"/>
    </row>
    <row r="172" spans="1:9" ht="15" x14ac:dyDescent="0.25">
      <c r="A172" s="81"/>
      <c r="B172" s="99"/>
      <c r="C172" s="80"/>
      <c r="D172" s="81"/>
      <c r="E172" s="81"/>
      <c r="F172" s="81"/>
      <c r="G172" s="81"/>
      <c r="H172" s="81"/>
      <c r="I172" s="80"/>
    </row>
    <row r="173" spans="1:9" ht="15" x14ac:dyDescent="0.25">
      <c r="A173" s="81"/>
      <c r="B173" s="99"/>
      <c r="C173" s="80"/>
      <c r="D173" s="81"/>
      <c r="E173" s="81"/>
      <c r="F173" s="81"/>
      <c r="G173" s="81"/>
      <c r="H173" s="81"/>
      <c r="I173" s="80"/>
    </row>
    <row r="174" spans="1:9" ht="15" x14ac:dyDescent="0.25">
      <c r="A174" s="81"/>
      <c r="B174" s="99"/>
      <c r="C174" s="80"/>
      <c r="D174" s="81"/>
      <c r="E174" s="81"/>
      <c r="F174" s="81"/>
      <c r="G174" s="81"/>
      <c r="H174" s="81"/>
      <c r="I174" s="80"/>
    </row>
    <row r="175" spans="1:9" ht="15" x14ac:dyDescent="0.25">
      <c r="A175" s="81"/>
      <c r="B175" s="99"/>
      <c r="C175" s="80"/>
      <c r="D175" s="81"/>
      <c r="E175" s="81"/>
      <c r="F175" s="81"/>
      <c r="G175" s="81"/>
      <c r="H175" s="81"/>
      <c r="I175" s="80"/>
    </row>
    <row r="176" spans="1:9" ht="15" x14ac:dyDescent="0.25">
      <c r="A176" s="81"/>
      <c r="B176" s="99"/>
      <c r="C176" s="80"/>
      <c r="D176" s="81"/>
      <c r="E176" s="81"/>
      <c r="F176" s="81"/>
      <c r="G176" s="81"/>
      <c r="H176" s="81"/>
      <c r="I176" s="80"/>
    </row>
    <row r="177" spans="1:9" ht="15" x14ac:dyDescent="0.25">
      <c r="A177" s="81"/>
      <c r="B177" s="99"/>
      <c r="C177" s="80"/>
      <c r="D177" s="81"/>
      <c r="E177" s="81"/>
      <c r="F177" s="81"/>
      <c r="G177" s="81"/>
      <c r="H177" s="81"/>
      <c r="I177" s="80"/>
    </row>
    <row r="178" spans="1:9" ht="15" x14ac:dyDescent="0.25">
      <c r="A178" s="81"/>
      <c r="B178" s="99"/>
      <c r="C178" s="80"/>
      <c r="D178" s="81"/>
      <c r="E178" s="81"/>
      <c r="F178" s="81"/>
      <c r="G178" s="81"/>
      <c r="H178" s="81"/>
      <c r="I178" s="80"/>
    </row>
    <row r="179" spans="1:9" ht="15" x14ac:dyDescent="0.25">
      <c r="A179" s="81"/>
      <c r="B179" s="99"/>
      <c r="C179" s="80"/>
      <c r="D179" s="81"/>
      <c r="E179" s="81"/>
      <c r="F179" s="81"/>
      <c r="G179" s="81"/>
      <c r="H179" s="81"/>
      <c r="I179" s="80"/>
    </row>
    <row r="180" spans="1:9" ht="15" x14ac:dyDescent="0.25">
      <c r="A180" s="81"/>
      <c r="B180" s="99"/>
      <c r="C180" s="80"/>
      <c r="D180" s="81"/>
      <c r="E180" s="81"/>
      <c r="F180" s="81"/>
      <c r="G180" s="81"/>
      <c r="H180" s="81"/>
      <c r="I180" s="80"/>
    </row>
    <row r="181" spans="1:9" ht="15" x14ac:dyDescent="0.25">
      <c r="A181" s="81"/>
      <c r="B181" s="99"/>
      <c r="C181" s="80"/>
      <c r="D181" s="81"/>
      <c r="E181" s="81"/>
      <c r="F181" s="81"/>
      <c r="G181" s="81"/>
      <c r="H181" s="81"/>
      <c r="I181" s="80"/>
    </row>
    <row r="182" spans="1:9" ht="15" x14ac:dyDescent="0.25">
      <c r="A182" s="81"/>
      <c r="B182" s="99"/>
      <c r="C182" s="80"/>
      <c r="D182" s="81"/>
      <c r="E182" s="81"/>
      <c r="F182" s="81"/>
      <c r="G182" s="81"/>
      <c r="H182" s="81"/>
      <c r="I182" s="80"/>
    </row>
    <row r="183" spans="1:9" ht="15" x14ac:dyDescent="0.25">
      <c r="A183" s="81"/>
      <c r="B183" s="99"/>
      <c r="C183" s="80"/>
      <c r="D183" s="81"/>
      <c r="E183" s="81"/>
      <c r="F183" s="81"/>
      <c r="G183" s="81"/>
      <c r="H183" s="81"/>
      <c r="I183" s="80"/>
    </row>
    <row r="184" spans="1:9" ht="15" x14ac:dyDescent="0.25">
      <c r="A184" s="81"/>
      <c r="B184" s="99"/>
      <c r="C184" s="80"/>
      <c r="D184" s="81"/>
      <c r="E184" s="81"/>
      <c r="F184" s="81"/>
      <c r="G184" s="81"/>
      <c r="H184" s="81"/>
      <c r="I184" s="80"/>
    </row>
    <row r="185" spans="1:9" ht="15" x14ac:dyDescent="0.25">
      <c r="A185" s="81"/>
      <c r="B185" s="99"/>
      <c r="C185" s="80"/>
      <c r="D185" s="81"/>
      <c r="E185" s="81"/>
      <c r="F185" s="81"/>
      <c r="G185" s="81"/>
      <c r="H185" s="81"/>
      <c r="I185" s="80"/>
    </row>
    <row r="186" spans="1:9" ht="15" x14ac:dyDescent="0.25">
      <c r="A186" s="81"/>
      <c r="B186" s="99"/>
      <c r="C186" s="80"/>
      <c r="D186" s="81"/>
      <c r="E186" s="81"/>
      <c r="F186" s="81"/>
      <c r="G186" s="81"/>
      <c r="H186" s="81"/>
      <c r="I186" s="80"/>
    </row>
    <row r="187" spans="1:9" ht="15" x14ac:dyDescent="0.25">
      <c r="A187" s="81"/>
      <c r="B187" s="99"/>
      <c r="C187" s="80"/>
      <c r="D187" s="81"/>
      <c r="E187" s="81"/>
      <c r="F187" s="81"/>
      <c r="G187" s="81"/>
      <c r="H187" s="81"/>
      <c r="I187" s="80"/>
    </row>
    <row r="188" spans="1:9" ht="15" x14ac:dyDescent="0.25">
      <c r="A188" s="81"/>
      <c r="B188" s="99"/>
      <c r="C188" s="80"/>
      <c r="D188" s="81"/>
      <c r="E188" s="81"/>
      <c r="F188" s="81"/>
      <c r="G188" s="81"/>
      <c r="H188" s="81"/>
      <c r="I188" s="80"/>
    </row>
    <row r="189" spans="1:9" ht="15" x14ac:dyDescent="0.25">
      <c r="A189" s="81"/>
      <c r="B189" s="99"/>
      <c r="C189" s="80"/>
      <c r="D189" s="81"/>
      <c r="E189" s="81"/>
      <c r="F189" s="81"/>
      <c r="G189" s="81"/>
      <c r="H189" s="81"/>
      <c r="I189" s="80"/>
    </row>
    <row r="190" spans="1:9" ht="15" x14ac:dyDescent="0.25">
      <c r="A190" s="81"/>
      <c r="B190" s="99"/>
      <c r="C190" s="80"/>
      <c r="D190" s="81"/>
      <c r="E190" s="81"/>
      <c r="F190" s="81"/>
      <c r="G190" s="81"/>
      <c r="H190" s="81"/>
      <c r="I190" s="80"/>
    </row>
    <row r="191" spans="1:9" ht="15" x14ac:dyDescent="0.25">
      <c r="A191" s="81"/>
      <c r="B191" s="99"/>
      <c r="C191" s="80"/>
      <c r="D191" s="81"/>
      <c r="E191" s="81"/>
      <c r="F191" s="81"/>
      <c r="G191" s="81"/>
      <c r="H191" s="81"/>
      <c r="I191" s="80"/>
    </row>
    <row r="192" spans="1:9" ht="15" x14ac:dyDescent="0.25">
      <c r="A192" s="81"/>
      <c r="B192" s="99"/>
      <c r="C192" s="80"/>
      <c r="D192" s="81"/>
      <c r="E192" s="81"/>
      <c r="F192" s="81"/>
      <c r="G192" s="81"/>
      <c r="H192" s="81"/>
      <c r="I192" s="80"/>
    </row>
    <row r="193" spans="1:9" ht="15" x14ac:dyDescent="0.25">
      <c r="A193" s="81"/>
      <c r="B193" s="99"/>
      <c r="C193" s="80"/>
      <c r="D193" s="81"/>
      <c r="E193" s="81"/>
      <c r="F193" s="81"/>
      <c r="G193" s="81"/>
      <c r="H193" s="81"/>
      <c r="I193" s="80"/>
    </row>
    <row r="194" spans="1:9" ht="15" x14ac:dyDescent="0.25">
      <c r="A194" s="81"/>
      <c r="B194" s="99"/>
      <c r="C194" s="80"/>
      <c r="D194" s="81"/>
      <c r="E194" s="81"/>
      <c r="F194" s="81"/>
      <c r="G194" s="81"/>
      <c r="H194" s="81"/>
      <c r="I194" s="80"/>
    </row>
    <row r="195" spans="1:9" ht="15" x14ac:dyDescent="0.25">
      <c r="A195" s="81"/>
      <c r="B195" s="99"/>
      <c r="C195" s="80"/>
      <c r="D195" s="81"/>
      <c r="E195" s="81"/>
      <c r="F195" s="81"/>
      <c r="G195" s="81"/>
      <c r="H195" s="81"/>
      <c r="I195" s="80"/>
    </row>
    <row r="196" spans="1:9" ht="15" x14ac:dyDescent="0.25">
      <c r="A196" s="81"/>
      <c r="B196" s="99"/>
      <c r="C196" s="80"/>
      <c r="D196" s="81"/>
      <c r="E196" s="81"/>
      <c r="F196" s="81"/>
      <c r="G196" s="81"/>
      <c r="H196" s="81"/>
      <c r="I196" s="80"/>
    </row>
    <row r="197" spans="1:9" ht="15" x14ac:dyDescent="0.25">
      <c r="A197" s="81"/>
      <c r="B197" s="99"/>
      <c r="C197" s="80"/>
      <c r="D197" s="81"/>
      <c r="E197" s="81"/>
      <c r="F197" s="81"/>
      <c r="G197" s="81"/>
      <c r="H197" s="81"/>
      <c r="I197" s="80"/>
    </row>
    <row r="198" spans="1:9" ht="15" x14ac:dyDescent="0.25">
      <c r="A198" s="81"/>
      <c r="B198" s="99"/>
      <c r="C198" s="80"/>
      <c r="D198" s="81"/>
      <c r="E198" s="81"/>
      <c r="F198" s="81"/>
      <c r="G198" s="81"/>
      <c r="H198" s="81"/>
      <c r="I198" s="80"/>
    </row>
    <row r="199" spans="1:9" ht="15" x14ac:dyDescent="0.25">
      <c r="A199" s="81"/>
      <c r="B199" s="99"/>
      <c r="C199" s="80"/>
      <c r="D199" s="81"/>
      <c r="E199" s="81"/>
      <c r="F199" s="81"/>
      <c r="G199" s="81"/>
      <c r="H199" s="81"/>
      <c r="I199" s="80"/>
    </row>
    <row r="200" spans="1:9" ht="15" x14ac:dyDescent="0.25">
      <c r="A200" s="81"/>
      <c r="B200" s="99"/>
      <c r="C200" s="80"/>
      <c r="D200" s="81"/>
      <c r="E200" s="81"/>
      <c r="F200" s="81"/>
      <c r="G200" s="81"/>
      <c r="H200" s="81"/>
      <c r="I200" s="80"/>
    </row>
    <row r="201" spans="1:9" ht="15" x14ac:dyDescent="0.25">
      <c r="A201" s="81"/>
      <c r="B201" s="99"/>
      <c r="C201" s="80"/>
      <c r="D201" s="81"/>
      <c r="E201" s="81"/>
      <c r="F201" s="81"/>
      <c r="G201" s="81"/>
      <c r="H201" s="81"/>
      <c r="I201" s="80"/>
    </row>
    <row r="202" spans="1:9" ht="15" x14ac:dyDescent="0.25">
      <c r="A202" s="81"/>
      <c r="B202" s="99"/>
      <c r="C202" s="80"/>
      <c r="D202" s="81"/>
      <c r="E202" s="81"/>
      <c r="F202" s="81"/>
      <c r="G202" s="81"/>
      <c r="H202" s="81"/>
      <c r="I202" s="80"/>
    </row>
    <row r="203" spans="1:9" ht="15" x14ac:dyDescent="0.25">
      <c r="A203" s="81"/>
      <c r="B203" s="99"/>
      <c r="C203" s="80"/>
      <c r="D203" s="81"/>
      <c r="E203" s="81"/>
      <c r="F203" s="81"/>
      <c r="G203" s="81"/>
      <c r="H203" s="81"/>
      <c r="I203" s="80"/>
    </row>
    <row r="204" spans="1:9" ht="15" x14ac:dyDescent="0.25">
      <c r="A204" s="81"/>
      <c r="B204" s="99"/>
      <c r="C204" s="80"/>
      <c r="D204" s="81"/>
      <c r="E204" s="81"/>
      <c r="F204" s="81"/>
      <c r="G204" s="81"/>
      <c r="H204" s="81"/>
      <c r="I204" s="80"/>
    </row>
    <row r="205" spans="1:9" ht="15" x14ac:dyDescent="0.25">
      <c r="A205" s="81"/>
      <c r="B205" s="99"/>
      <c r="C205" s="80"/>
      <c r="D205" s="81"/>
      <c r="E205" s="81"/>
      <c r="F205" s="81"/>
      <c r="G205" s="81"/>
      <c r="H205" s="81"/>
      <c r="I205" s="80"/>
    </row>
    <row r="206" spans="1:9" ht="15" x14ac:dyDescent="0.25">
      <c r="A206" s="81"/>
      <c r="B206" s="99"/>
      <c r="C206" s="80"/>
      <c r="D206" s="81"/>
      <c r="E206" s="81"/>
      <c r="F206" s="81"/>
      <c r="G206" s="81"/>
      <c r="H206" s="81"/>
      <c r="I206" s="80"/>
    </row>
    <row r="207" spans="1:9" ht="15" x14ac:dyDescent="0.25">
      <c r="A207" s="81"/>
      <c r="B207" s="99"/>
      <c r="C207" s="80"/>
      <c r="D207" s="81"/>
      <c r="E207" s="81"/>
      <c r="F207" s="81"/>
      <c r="G207" s="81"/>
      <c r="H207" s="81"/>
      <c r="I207" s="80"/>
    </row>
    <row r="208" spans="1:9" ht="15" x14ac:dyDescent="0.25">
      <c r="A208" s="81"/>
      <c r="B208" s="99"/>
      <c r="C208" s="80"/>
      <c r="D208" s="81"/>
      <c r="E208" s="81"/>
      <c r="F208" s="81"/>
      <c r="G208" s="81"/>
      <c r="H208" s="81"/>
      <c r="I208" s="80"/>
    </row>
    <row r="209" spans="1:9" ht="15" x14ac:dyDescent="0.25">
      <c r="A209" s="81"/>
      <c r="B209" s="99"/>
      <c r="C209" s="80"/>
      <c r="D209" s="81"/>
      <c r="E209" s="81"/>
      <c r="F209" s="81"/>
      <c r="G209" s="81"/>
      <c r="H209" s="81"/>
      <c r="I209" s="80"/>
    </row>
    <row r="210" spans="1:9" ht="15" x14ac:dyDescent="0.25">
      <c r="A210" s="81"/>
      <c r="B210" s="99"/>
      <c r="C210" s="80"/>
      <c r="D210" s="81"/>
      <c r="E210" s="81"/>
      <c r="F210" s="81"/>
      <c r="G210" s="81"/>
      <c r="H210" s="81"/>
      <c r="I210" s="80"/>
    </row>
    <row r="211" spans="1:9" ht="15" x14ac:dyDescent="0.25">
      <c r="A211" s="81"/>
      <c r="B211" s="99"/>
      <c r="C211" s="80"/>
      <c r="D211" s="81"/>
      <c r="E211" s="81"/>
      <c r="F211" s="81"/>
      <c r="G211" s="81"/>
      <c r="H211" s="81"/>
      <c r="I211" s="80"/>
    </row>
    <row r="212" spans="1:9" ht="15" x14ac:dyDescent="0.25">
      <c r="A212" s="81"/>
      <c r="B212" s="99"/>
      <c r="C212" s="80"/>
      <c r="D212" s="81"/>
      <c r="E212" s="81"/>
      <c r="F212" s="81"/>
      <c r="G212" s="81"/>
      <c r="H212" s="81"/>
      <c r="I212" s="80"/>
    </row>
    <row r="213" spans="1:9" ht="15" x14ac:dyDescent="0.25">
      <c r="A213" s="81"/>
      <c r="B213" s="99"/>
      <c r="C213" s="80"/>
      <c r="D213" s="81"/>
      <c r="E213" s="81"/>
      <c r="F213" s="81"/>
      <c r="G213" s="81"/>
      <c r="H213" s="81"/>
      <c r="I213" s="80"/>
    </row>
    <row r="214" spans="1:9" ht="15" x14ac:dyDescent="0.25">
      <c r="A214" s="81"/>
      <c r="B214" s="99"/>
      <c r="C214" s="80"/>
      <c r="D214" s="81"/>
      <c r="E214" s="81"/>
      <c r="F214" s="81"/>
      <c r="G214" s="81"/>
      <c r="H214" s="81"/>
      <c r="I214" s="80"/>
    </row>
    <row r="215" spans="1:9" ht="15" x14ac:dyDescent="0.25">
      <c r="A215" s="81"/>
      <c r="B215" s="99"/>
      <c r="C215" s="80"/>
      <c r="D215" s="81"/>
      <c r="E215" s="81"/>
      <c r="F215" s="81"/>
      <c r="G215" s="81"/>
      <c r="H215" s="81"/>
      <c r="I215" s="80"/>
    </row>
    <row r="216" spans="1:9" ht="15" x14ac:dyDescent="0.25">
      <c r="A216" s="81"/>
      <c r="B216" s="99"/>
      <c r="C216" s="80"/>
      <c r="D216" s="81"/>
      <c r="E216" s="81"/>
      <c r="F216" s="81"/>
      <c r="G216" s="81"/>
      <c r="H216" s="81"/>
      <c r="I216" s="80"/>
    </row>
    <row r="217" spans="1:9" ht="15" x14ac:dyDescent="0.25">
      <c r="A217" s="81"/>
      <c r="B217" s="99"/>
      <c r="C217" s="80"/>
      <c r="D217" s="81"/>
      <c r="E217" s="81"/>
      <c r="F217" s="81"/>
      <c r="G217" s="81"/>
      <c r="H217" s="81"/>
      <c r="I217" s="80"/>
    </row>
    <row r="218" spans="1:9" ht="15" x14ac:dyDescent="0.25">
      <c r="A218" s="81"/>
      <c r="B218" s="99"/>
      <c r="C218" s="80"/>
      <c r="D218" s="81"/>
      <c r="E218" s="81"/>
      <c r="F218" s="81"/>
      <c r="G218" s="81"/>
      <c r="H218" s="81"/>
      <c r="I218" s="80"/>
    </row>
    <row r="219" spans="1:9" ht="15" x14ac:dyDescent="0.25">
      <c r="A219" s="81"/>
      <c r="B219" s="99"/>
      <c r="C219" s="80"/>
      <c r="D219" s="81"/>
      <c r="E219" s="81"/>
      <c r="F219" s="81"/>
      <c r="G219" s="81"/>
      <c r="H219" s="81"/>
      <c r="I219" s="80"/>
    </row>
    <row r="220" spans="1:9" ht="15" x14ac:dyDescent="0.25">
      <c r="A220" s="81"/>
      <c r="B220" s="99"/>
      <c r="C220" s="80"/>
      <c r="D220" s="81"/>
      <c r="E220" s="81"/>
      <c r="F220" s="81"/>
      <c r="G220" s="81"/>
      <c r="H220" s="81"/>
      <c r="I220" s="80"/>
    </row>
    <row r="221" spans="1:9" ht="15" x14ac:dyDescent="0.25">
      <c r="A221" s="81"/>
      <c r="B221" s="99"/>
      <c r="C221" s="80"/>
      <c r="D221" s="81"/>
      <c r="E221" s="81"/>
      <c r="F221" s="81"/>
      <c r="G221" s="81"/>
      <c r="H221" s="81"/>
      <c r="I221" s="80"/>
    </row>
    <row r="222" spans="1:9" ht="15" x14ac:dyDescent="0.25">
      <c r="A222" s="81"/>
      <c r="B222" s="99"/>
      <c r="C222" s="80"/>
      <c r="D222" s="81"/>
      <c r="E222" s="81"/>
      <c r="F222" s="81"/>
      <c r="G222" s="81"/>
      <c r="H222" s="81"/>
      <c r="I222" s="80"/>
    </row>
    <row r="223" spans="1:9" ht="15" x14ac:dyDescent="0.25">
      <c r="A223" s="81"/>
      <c r="B223" s="99"/>
      <c r="C223" s="80"/>
      <c r="D223" s="81"/>
      <c r="E223" s="81"/>
      <c r="F223" s="81"/>
      <c r="G223" s="81"/>
      <c r="H223" s="81"/>
      <c r="I223" s="80"/>
    </row>
    <row r="224" spans="1:9" ht="15" x14ac:dyDescent="0.25">
      <c r="A224" s="81"/>
      <c r="B224" s="99"/>
      <c r="C224" s="80"/>
      <c r="D224" s="81"/>
      <c r="E224" s="81"/>
      <c r="F224" s="81"/>
      <c r="G224" s="81"/>
      <c r="H224" s="81"/>
      <c r="I224" s="80"/>
    </row>
    <row r="225" spans="1:9" ht="15" x14ac:dyDescent="0.25">
      <c r="A225" s="81"/>
      <c r="B225" s="99"/>
      <c r="C225" s="80"/>
      <c r="D225" s="81"/>
      <c r="E225" s="81"/>
      <c r="F225" s="81"/>
      <c r="G225" s="81"/>
      <c r="H225" s="81"/>
      <c r="I225" s="80"/>
    </row>
    <row r="226" spans="1:9" ht="15" x14ac:dyDescent="0.25">
      <c r="A226" s="81"/>
      <c r="B226" s="99"/>
      <c r="C226" s="80"/>
      <c r="D226" s="81"/>
      <c r="E226" s="81"/>
      <c r="F226" s="81"/>
      <c r="G226" s="81"/>
      <c r="H226" s="81"/>
      <c r="I226" s="80"/>
    </row>
    <row r="227" spans="1:9" ht="15" x14ac:dyDescent="0.25">
      <c r="A227" s="81"/>
      <c r="B227" s="99"/>
      <c r="C227" s="80"/>
      <c r="D227" s="81"/>
      <c r="E227" s="81"/>
      <c r="F227" s="81"/>
      <c r="G227" s="81"/>
      <c r="H227" s="81"/>
      <c r="I227" s="80"/>
    </row>
    <row r="228" spans="1:9" ht="15" x14ac:dyDescent="0.25">
      <c r="A228" s="81"/>
      <c r="B228" s="99"/>
      <c r="C228" s="80"/>
      <c r="D228" s="81"/>
      <c r="E228" s="81"/>
      <c r="F228" s="81"/>
      <c r="G228" s="81"/>
      <c r="H228" s="81"/>
      <c r="I228" s="80"/>
    </row>
    <row r="229" spans="1:9" ht="15" x14ac:dyDescent="0.25">
      <c r="A229" s="81"/>
      <c r="B229" s="99"/>
      <c r="C229" s="80"/>
      <c r="D229" s="81"/>
      <c r="E229" s="81"/>
      <c r="F229" s="81"/>
      <c r="G229" s="81"/>
      <c r="H229" s="81"/>
      <c r="I229" s="80"/>
    </row>
    <row r="230" spans="1:9" ht="15" x14ac:dyDescent="0.25">
      <c r="A230" s="81"/>
      <c r="B230" s="99"/>
      <c r="C230" s="80"/>
      <c r="D230" s="81"/>
      <c r="E230" s="81"/>
      <c r="F230" s="81"/>
      <c r="G230" s="81"/>
      <c r="H230" s="81"/>
      <c r="I230" s="80"/>
    </row>
    <row r="231" spans="1:9" ht="15" x14ac:dyDescent="0.25">
      <c r="A231" s="81"/>
      <c r="B231" s="99"/>
      <c r="C231" s="80"/>
      <c r="D231" s="81"/>
      <c r="E231" s="81"/>
      <c r="F231" s="81"/>
      <c r="G231" s="81"/>
      <c r="H231" s="81"/>
      <c r="I231" s="80"/>
    </row>
    <row r="232" spans="1:9" ht="15" x14ac:dyDescent="0.25">
      <c r="A232" s="81"/>
      <c r="B232" s="99"/>
      <c r="C232" s="80"/>
      <c r="D232" s="81"/>
      <c r="E232" s="81"/>
      <c r="F232" s="81"/>
      <c r="G232" s="81"/>
      <c r="H232" s="81"/>
      <c r="I232" s="80"/>
    </row>
    <row r="233" spans="1:9" ht="15" x14ac:dyDescent="0.25">
      <c r="A233" s="81"/>
      <c r="B233" s="99"/>
      <c r="C233" s="80"/>
      <c r="D233" s="81"/>
      <c r="E233" s="81"/>
      <c r="F233" s="81"/>
      <c r="G233" s="81"/>
      <c r="H233" s="81"/>
      <c r="I233" s="80"/>
    </row>
    <row r="234" spans="1:9" ht="15" x14ac:dyDescent="0.25">
      <c r="A234" s="81"/>
      <c r="B234" s="99"/>
      <c r="C234" s="80"/>
      <c r="D234" s="81"/>
      <c r="E234" s="81"/>
      <c r="F234" s="81"/>
      <c r="G234" s="81"/>
      <c r="H234" s="81"/>
      <c r="I234" s="80"/>
    </row>
    <row r="235" spans="1:9" ht="15" x14ac:dyDescent="0.25">
      <c r="A235" s="81"/>
      <c r="B235" s="99"/>
      <c r="C235" s="80"/>
      <c r="D235" s="81"/>
      <c r="E235" s="81"/>
      <c r="F235" s="81"/>
      <c r="G235" s="81"/>
      <c r="H235" s="81"/>
      <c r="I235" s="80"/>
    </row>
    <row r="236" spans="1:9" ht="15" x14ac:dyDescent="0.25">
      <c r="A236" s="81"/>
      <c r="B236" s="99"/>
      <c r="C236" s="80"/>
      <c r="D236" s="81"/>
      <c r="E236" s="81"/>
      <c r="F236" s="81"/>
      <c r="G236" s="81"/>
      <c r="H236" s="81"/>
      <c r="I236" s="80"/>
    </row>
    <row r="237" spans="1:9" ht="15" x14ac:dyDescent="0.25">
      <c r="A237" s="81"/>
      <c r="B237" s="99"/>
      <c r="C237" s="80"/>
      <c r="D237" s="81"/>
      <c r="E237" s="81"/>
      <c r="F237" s="81"/>
      <c r="G237" s="81"/>
      <c r="H237" s="81"/>
      <c r="I237" s="80"/>
    </row>
    <row r="238" spans="1:9" ht="15" x14ac:dyDescent="0.25">
      <c r="A238" s="81"/>
      <c r="B238" s="99"/>
      <c r="C238" s="80"/>
      <c r="D238" s="81"/>
      <c r="E238" s="81"/>
      <c r="F238" s="81"/>
      <c r="G238" s="81"/>
      <c r="H238" s="81"/>
      <c r="I238" s="80"/>
    </row>
    <row r="239" spans="1:9" ht="15" x14ac:dyDescent="0.25">
      <c r="A239" s="81"/>
      <c r="B239" s="99"/>
      <c r="C239" s="80"/>
      <c r="D239" s="81"/>
      <c r="E239" s="81"/>
      <c r="F239" s="81"/>
      <c r="G239" s="81"/>
      <c r="H239" s="81"/>
      <c r="I239" s="80"/>
    </row>
    <row r="240" spans="1:9" ht="15" x14ac:dyDescent="0.25">
      <c r="A240" s="81"/>
      <c r="B240" s="99"/>
      <c r="C240" s="80"/>
      <c r="D240" s="81"/>
      <c r="E240" s="81"/>
      <c r="F240" s="81"/>
      <c r="G240" s="81"/>
      <c r="H240" s="81"/>
      <c r="I240" s="80"/>
    </row>
    <row r="241" spans="1:9" ht="15" x14ac:dyDescent="0.25">
      <c r="A241" s="81"/>
      <c r="B241" s="99"/>
      <c r="C241" s="80"/>
      <c r="D241" s="81"/>
      <c r="E241" s="81"/>
      <c r="F241" s="81"/>
      <c r="G241" s="81"/>
      <c r="H241" s="81"/>
      <c r="I241" s="80"/>
    </row>
    <row r="242" spans="1:9" ht="15" x14ac:dyDescent="0.25">
      <c r="A242" s="81"/>
      <c r="B242" s="99"/>
      <c r="C242" s="80"/>
      <c r="D242" s="81"/>
      <c r="E242" s="81"/>
      <c r="F242" s="81"/>
      <c r="G242" s="81"/>
      <c r="H242" s="81"/>
      <c r="I242" s="80"/>
    </row>
    <row r="243" spans="1:9" ht="15" x14ac:dyDescent="0.25">
      <c r="A243" s="81"/>
      <c r="B243" s="99"/>
      <c r="C243" s="80"/>
      <c r="D243" s="81"/>
      <c r="E243" s="81"/>
      <c r="F243" s="81"/>
      <c r="G243" s="81"/>
      <c r="H243" s="81"/>
      <c r="I243" s="80"/>
    </row>
    <row r="244" spans="1:9" ht="15" x14ac:dyDescent="0.25">
      <c r="A244" s="81"/>
      <c r="B244" s="99"/>
      <c r="C244" s="80"/>
      <c r="D244" s="81"/>
      <c r="E244" s="81"/>
      <c r="F244" s="81"/>
      <c r="G244" s="81"/>
      <c r="H244" s="81"/>
      <c r="I244" s="80"/>
    </row>
    <row r="245" spans="1:9" ht="15" x14ac:dyDescent="0.25">
      <c r="A245" s="81"/>
      <c r="B245" s="99"/>
      <c r="C245" s="80"/>
      <c r="D245" s="81"/>
      <c r="E245" s="81"/>
      <c r="F245" s="81"/>
      <c r="G245" s="81"/>
      <c r="H245" s="81"/>
      <c r="I245" s="80"/>
    </row>
    <row r="246" spans="1:9" ht="15" x14ac:dyDescent="0.25">
      <c r="A246" s="81"/>
      <c r="B246" s="99"/>
      <c r="C246" s="80"/>
      <c r="D246" s="81"/>
      <c r="E246" s="81"/>
      <c r="F246" s="81"/>
      <c r="G246" s="81"/>
      <c r="H246" s="81"/>
      <c r="I246" s="80"/>
    </row>
    <row r="247" spans="1:9" ht="15" x14ac:dyDescent="0.25">
      <c r="A247" s="81"/>
      <c r="B247" s="99"/>
      <c r="C247" s="80"/>
      <c r="D247" s="81"/>
      <c r="E247" s="81"/>
      <c r="F247" s="81"/>
      <c r="G247" s="81"/>
      <c r="H247" s="81"/>
      <c r="I247" s="80"/>
    </row>
    <row r="248" spans="1:9" ht="15" x14ac:dyDescent="0.25">
      <c r="A248" s="81"/>
      <c r="B248" s="99"/>
      <c r="C248" s="80"/>
      <c r="D248" s="81"/>
      <c r="E248" s="81"/>
      <c r="F248" s="81"/>
      <c r="G248" s="81"/>
      <c r="H248" s="81"/>
      <c r="I248" s="80"/>
    </row>
    <row r="249" spans="1:9" ht="15" x14ac:dyDescent="0.25">
      <c r="A249" s="81"/>
      <c r="B249" s="99"/>
      <c r="C249" s="80"/>
      <c r="D249" s="81"/>
      <c r="E249" s="81"/>
      <c r="F249" s="81"/>
      <c r="G249" s="81"/>
      <c r="H249" s="81"/>
      <c r="I249" s="80"/>
    </row>
    <row r="250" spans="1:9" ht="15" x14ac:dyDescent="0.25">
      <c r="A250" s="81"/>
      <c r="B250" s="99"/>
      <c r="C250" s="80"/>
      <c r="D250" s="81"/>
      <c r="E250" s="81"/>
      <c r="F250" s="81"/>
      <c r="G250" s="81"/>
      <c r="H250" s="81"/>
      <c r="I250" s="80"/>
    </row>
    <row r="251" spans="1:9" ht="15" x14ac:dyDescent="0.25">
      <c r="A251" s="81"/>
      <c r="B251" s="99"/>
      <c r="C251" s="80"/>
      <c r="D251" s="81"/>
      <c r="E251" s="81"/>
      <c r="F251" s="81"/>
      <c r="G251" s="81"/>
      <c r="H251" s="81"/>
      <c r="I251" s="80"/>
    </row>
    <row r="252" spans="1:9" ht="15" x14ac:dyDescent="0.25">
      <c r="A252" s="81"/>
      <c r="B252" s="99"/>
      <c r="C252" s="80"/>
      <c r="D252" s="81"/>
      <c r="E252" s="81"/>
      <c r="F252" s="81"/>
      <c r="G252" s="81"/>
      <c r="H252" s="81"/>
      <c r="I252" s="80"/>
    </row>
    <row r="253" spans="1:9" ht="15" x14ac:dyDescent="0.25">
      <c r="A253" s="81"/>
      <c r="B253" s="99"/>
      <c r="C253" s="80"/>
      <c r="D253" s="81"/>
      <c r="E253" s="81"/>
      <c r="F253" s="81"/>
      <c r="G253" s="81"/>
      <c r="H253" s="81"/>
      <c r="I253" s="80"/>
    </row>
    <row r="254" spans="1:9" ht="15" x14ac:dyDescent="0.25">
      <c r="A254" s="81"/>
      <c r="B254" s="99"/>
      <c r="C254" s="80"/>
      <c r="D254" s="81"/>
      <c r="E254" s="81"/>
      <c r="F254" s="81"/>
      <c r="G254" s="81"/>
      <c r="H254" s="81"/>
      <c r="I254" s="80"/>
    </row>
    <row r="255" spans="1:9" ht="15" x14ac:dyDescent="0.25">
      <c r="A255" s="81"/>
      <c r="B255" s="99"/>
      <c r="C255" s="80"/>
      <c r="D255" s="81"/>
      <c r="E255" s="81"/>
      <c r="F255" s="81"/>
      <c r="G255" s="81"/>
      <c r="H255" s="81"/>
      <c r="I255" s="80"/>
    </row>
    <row r="256" spans="1:9" ht="15" x14ac:dyDescent="0.25">
      <c r="A256" s="81"/>
      <c r="B256" s="99"/>
      <c r="C256" s="80"/>
      <c r="D256" s="81"/>
      <c r="E256" s="81"/>
      <c r="F256" s="81"/>
      <c r="G256" s="81"/>
      <c r="H256" s="81"/>
      <c r="I256" s="80"/>
    </row>
    <row r="257" spans="1:9" ht="15" x14ac:dyDescent="0.25">
      <c r="A257" s="81"/>
      <c r="B257" s="99"/>
      <c r="C257" s="80"/>
      <c r="D257" s="81"/>
      <c r="E257" s="81"/>
      <c r="F257" s="81"/>
      <c r="G257" s="81"/>
      <c r="H257" s="81"/>
      <c r="I257" s="80"/>
    </row>
    <row r="258" spans="1:9" ht="15" x14ac:dyDescent="0.25">
      <c r="A258" s="81"/>
      <c r="B258" s="99"/>
      <c r="C258" s="80"/>
      <c r="D258" s="81"/>
      <c r="E258" s="81"/>
      <c r="F258" s="81"/>
      <c r="G258" s="81"/>
      <c r="H258" s="81"/>
      <c r="I258" s="80"/>
    </row>
    <row r="259" spans="1:9" ht="15" x14ac:dyDescent="0.25">
      <c r="A259" s="81"/>
      <c r="B259" s="99"/>
      <c r="C259" s="80"/>
      <c r="D259" s="81"/>
      <c r="E259" s="81"/>
      <c r="F259" s="81"/>
      <c r="G259" s="81"/>
      <c r="H259" s="81"/>
      <c r="I259" s="80"/>
    </row>
    <row r="260" spans="1:9" ht="15" x14ac:dyDescent="0.25">
      <c r="A260" s="81"/>
      <c r="B260" s="99"/>
      <c r="C260" s="80"/>
      <c r="D260" s="81"/>
      <c r="E260" s="81"/>
      <c r="F260" s="81"/>
      <c r="G260" s="81"/>
      <c r="H260" s="81"/>
      <c r="I260" s="80"/>
    </row>
    <row r="261" spans="1:9" ht="15" x14ac:dyDescent="0.25">
      <c r="A261" s="81"/>
      <c r="B261" s="99"/>
      <c r="C261" s="80"/>
      <c r="D261" s="81"/>
      <c r="E261" s="81"/>
      <c r="F261" s="81"/>
      <c r="G261" s="81"/>
      <c r="H261" s="81"/>
      <c r="I261" s="80"/>
    </row>
    <row r="262" spans="1:9" ht="15" x14ac:dyDescent="0.25">
      <c r="A262" s="81"/>
      <c r="B262" s="99"/>
      <c r="C262" s="80"/>
      <c r="D262" s="81"/>
      <c r="E262" s="81"/>
      <c r="F262" s="81"/>
      <c r="G262" s="81"/>
      <c r="H262" s="81"/>
      <c r="I262" s="80"/>
    </row>
    <row r="263" spans="1:9" ht="15" x14ac:dyDescent="0.25">
      <c r="A263" s="81"/>
      <c r="B263" s="99"/>
      <c r="C263" s="80"/>
      <c r="D263" s="81"/>
      <c r="E263" s="81"/>
      <c r="F263" s="81"/>
      <c r="G263" s="81"/>
      <c r="H263" s="81"/>
      <c r="I263" s="80"/>
    </row>
    <row r="264" spans="1:9" ht="15" x14ac:dyDescent="0.25">
      <c r="A264" s="81"/>
      <c r="B264" s="99"/>
      <c r="C264" s="80"/>
      <c r="D264" s="81"/>
      <c r="E264" s="81"/>
      <c r="F264" s="81"/>
      <c r="G264" s="81"/>
      <c r="H264" s="81"/>
      <c r="I264" s="80"/>
    </row>
    <row r="265" spans="1:9" ht="15" x14ac:dyDescent="0.25">
      <c r="A265" s="81"/>
      <c r="B265" s="99"/>
      <c r="C265" s="80"/>
      <c r="D265" s="81"/>
      <c r="E265" s="81"/>
      <c r="F265" s="81"/>
      <c r="G265" s="81"/>
      <c r="H265" s="81"/>
      <c r="I265" s="80"/>
    </row>
    <row r="266" spans="1:9" ht="15" x14ac:dyDescent="0.25">
      <c r="A266" s="81"/>
      <c r="B266" s="99"/>
      <c r="C266" s="80"/>
      <c r="D266" s="81"/>
      <c r="E266" s="81"/>
      <c r="F266" s="81"/>
      <c r="G266" s="81"/>
      <c r="H266" s="81"/>
      <c r="I266" s="80"/>
    </row>
    <row r="267" spans="1:9" ht="15" x14ac:dyDescent="0.25">
      <c r="A267" s="81"/>
      <c r="B267" s="99"/>
      <c r="C267" s="80"/>
      <c r="D267" s="81"/>
      <c r="E267" s="81"/>
      <c r="F267" s="81"/>
      <c r="G267" s="81"/>
      <c r="H267" s="81"/>
      <c r="I267" s="80"/>
    </row>
    <row r="268" spans="1:9" ht="15" x14ac:dyDescent="0.25">
      <c r="A268" s="81"/>
      <c r="B268" s="99"/>
      <c r="C268" s="80"/>
      <c r="D268" s="81"/>
      <c r="E268" s="81"/>
      <c r="F268" s="81"/>
      <c r="G268" s="81"/>
      <c r="H268" s="81"/>
      <c r="I268" s="80"/>
    </row>
    <row r="269" spans="1:9" ht="15" x14ac:dyDescent="0.25">
      <c r="A269" s="81"/>
      <c r="B269" s="99"/>
      <c r="C269" s="80"/>
      <c r="D269" s="81"/>
      <c r="E269" s="81"/>
      <c r="F269" s="81"/>
      <c r="G269" s="81"/>
      <c r="H269" s="81"/>
      <c r="I269" s="80"/>
    </row>
    <row r="270" spans="1:9" ht="15" x14ac:dyDescent="0.25">
      <c r="A270" s="81"/>
      <c r="B270" s="99"/>
      <c r="C270" s="80"/>
      <c r="D270" s="81"/>
      <c r="E270" s="81"/>
      <c r="F270" s="81"/>
      <c r="G270" s="81"/>
      <c r="H270" s="81"/>
      <c r="I270" s="80"/>
    </row>
    <row r="271" spans="1:9" ht="15" x14ac:dyDescent="0.25">
      <c r="A271" s="81"/>
      <c r="B271" s="99"/>
      <c r="C271" s="80"/>
      <c r="D271" s="81"/>
      <c r="E271" s="81"/>
      <c r="F271" s="81"/>
      <c r="G271" s="81"/>
      <c r="H271" s="81"/>
      <c r="I271" s="80"/>
    </row>
    <row r="272" spans="1:9" ht="15" x14ac:dyDescent="0.25">
      <c r="A272" s="81"/>
      <c r="B272" s="99"/>
      <c r="C272" s="80"/>
      <c r="D272" s="81"/>
      <c r="E272" s="81"/>
      <c r="F272" s="81"/>
      <c r="G272" s="81"/>
      <c r="H272" s="81"/>
      <c r="I272" s="80"/>
    </row>
    <row r="273" spans="1:9" ht="15" x14ac:dyDescent="0.25">
      <c r="A273" s="81"/>
      <c r="B273" s="99"/>
      <c r="C273" s="80"/>
      <c r="D273" s="81"/>
      <c r="E273" s="81"/>
      <c r="F273" s="81"/>
      <c r="G273" s="81"/>
      <c r="H273" s="81"/>
      <c r="I273" s="80"/>
    </row>
    <row r="274" spans="1:9" ht="15" x14ac:dyDescent="0.25">
      <c r="A274" s="81"/>
      <c r="B274" s="99"/>
      <c r="C274" s="80"/>
      <c r="D274" s="81"/>
      <c r="E274" s="81"/>
      <c r="F274" s="81"/>
      <c r="G274" s="81"/>
      <c r="H274" s="81"/>
      <c r="I274" s="80"/>
    </row>
  </sheetData>
  <mergeCells count="2">
    <mergeCell ref="A2:I2"/>
    <mergeCell ref="AO13:AR1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5A32C-7273-4AFD-8454-C0BB1D08D6E2}">
  <sheetPr codeName="Sheet4">
    <tabColor rgb="FF33CC33"/>
  </sheetPr>
  <dimension ref="A1:BA274"/>
  <sheetViews>
    <sheetView showGridLines="0" topLeftCell="A7" zoomScale="83" workbookViewId="0">
      <selection activeCell="H26" sqref="H26"/>
    </sheetView>
  </sheetViews>
  <sheetFormatPr baseColWidth="10" defaultColWidth="9.140625" defaultRowHeight="12.75" x14ac:dyDescent="0.2"/>
  <cols>
    <col min="1" max="1" width="11.140625" style="100" customWidth="1"/>
    <col min="2" max="2" width="14.140625" style="100" customWidth="1"/>
    <col min="3" max="3" width="12.7109375" style="100" customWidth="1"/>
    <col min="4" max="4" width="23" style="100" bestFit="1" customWidth="1"/>
    <col min="5" max="5" width="23.42578125" style="100" customWidth="1"/>
    <col min="6" max="6" width="20" style="100" bestFit="1" customWidth="1"/>
    <col min="7" max="7" width="26.7109375" style="100" bestFit="1" customWidth="1"/>
    <col min="8" max="8" width="16.7109375" style="100" customWidth="1"/>
    <col min="9" max="9" width="12.140625" style="100" customWidth="1"/>
    <col min="10" max="45" width="9.140625" style="89"/>
    <col min="46" max="46" width="27.7109375" style="89" bestFit="1" customWidth="1"/>
    <col min="47" max="50" width="9.140625" style="89"/>
    <col min="51" max="51" width="26.5703125" style="89" bestFit="1" customWidth="1"/>
    <col min="52" max="16384" width="9.140625" style="89"/>
  </cols>
  <sheetData>
    <row r="1" spans="1:53" ht="16.5" x14ac:dyDescent="0.25">
      <c r="A1" s="93"/>
      <c r="B1" s="93"/>
      <c r="C1" s="93"/>
      <c r="D1" s="93"/>
      <c r="E1" s="91"/>
      <c r="F1" s="91"/>
      <c r="G1" s="91"/>
      <c r="H1" s="91"/>
      <c r="I1" s="91"/>
    </row>
    <row r="2" spans="1:53" ht="16.5" x14ac:dyDescent="0.25">
      <c r="A2" s="143" t="s">
        <v>300</v>
      </c>
      <c r="B2" s="143"/>
      <c r="C2" s="143"/>
      <c r="D2" s="143"/>
      <c r="E2" s="143"/>
      <c r="F2" s="143"/>
      <c r="G2" s="143"/>
      <c r="H2" s="143"/>
      <c r="I2" s="143"/>
    </row>
    <row r="3" spans="1:53" ht="16.5" x14ac:dyDescent="0.25">
      <c r="A3" s="93"/>
      <c r="B3" s="93"/>
      <c r="C3" s="93"/>
      <c r="D3" s="102" t="s">
        <v>0</v>
      </c>
      <c r="E3" s="91"/>
      <c r="F3" s="91"/>
      <c r="G3" s="91"/>
      <c r="H3" s="91"/>
      <c r="I3" s="91"/>
    </row>
    <row r="4" spans="1:53" ht="16.5" x14ac:dyDescent="0.25">
      <c r="A4" s="93"/>
      <c r="B4" s="93"/>
      <c r="C4" s="93"/>
      <c r="D4" s="101">
        <v>212314</v>
      </c>
      <c r="E4" s="91"/>
      <c r="F4" s="91"/>
      <c r="G4" s="91"/>
      <c r="H4" s="91"/>
      <c r="I4" s="94"/>
    </row>
    <row r="5" spans="1:53" ht="16.5" x14ac:dyDescent="0.25">
      <c r="A5" s="93"/>
      <c r="B5" s="91"/>
      <c r="C5" s="91"/>
      <c r="D5" s="91"/>
      <c r="E5" s="91"/>
      <c r="F5" s="91"/>
      <c r="G5" s="91"/>
      <c r="H5" s="91"/>
      <c r="I5" s="91"/>
    </row>
    <row r="6" spans="1:53" ht="16.5" x14ac:dyDescent="0.25">
      <c r="A6" s="95" t="s">
        <v>0</v>
      </c>
      <c r="B6" s="98">
        <f>+D4</f>
        <v>212314</v>
      </c>
      <c r="C6" s="93"/>
      <c r="D6" s="93"/>
      <c r="E6" s="92" t="s">
        <v>302</v>
      </c>
      <c r="F6" s="97"/>
      <c r="G6" s="91"/>
      <c r="H6" s="91"/>
      <c r="I6" s="91"/>
    </row>
    <row r="7" spans="1:53" ht="16.5" x14ac:dyDescent="0.25">
      <c r="A7" s="90" t="s">
        <v>1</v>
      </c>
      <c r="B7" s="90" t="str">
        <f>VLOOKUP(B6,Tabla1[#All],2,FALSE)</f>
        <v>JUAN ANIBAL CARDOZA OVIEDO</v>
      </c>
      <c r="C7" s="93"/>
      <c r="D7" s="93"/>
      <c r="E7" s="92" t="s">
        <v>301</v>
      </c>
      <c r="F7" s="96"/>
      <c r="G7" s="91"/>
      <c r="H7" s="91"/>
      <c r="I7" s="91"/>
    </row>
    <row r="8" spans="1:53" ht="16.5" x14ac:dyDescent="0.25">
      <c r="A8" s="95" t="s">
        <v>299</v>
      </c>
      <c r="B8" s="127" t="str">
        <f>VLOOKUP(B6,Tabla1[#All],3,FALSE)</f>
        <v>Operador de Cabezal I</v>
      </c>
      <c r="C8" s="93"/>
      <c r="D8" s="93"/>
      <c r="E8" s="92" t="s">
        <v>312</v>
      </c>
      <c r="F8" s="90" t="str">
        <f>VLOOKUP(B6,[1]!Tabla2[#All],4,FALSE)</f>
        <v>NI0101A024</v>
      </c>
      <c r="G8" s="91"/>
      <c r="H8" s="91"/>
      <c r="I8" s="91"/>
    </row>
    <row r="9" spans="1:53" ht="16.5" x14ac:dyDescent="0.25">
      <c r="A9" s="92"/>
      <c r="B9" s="94"/>
      <c r="C9" s="94"/>
      <c r="D9" s="94"/>
      <c r="E9" s="94"/>
      <c r="F9" s="94"/>
      <c r="G9" s="94"/>
      <c r="H9" s="94"/>
      <c r="I9" s="91"/>
    </row>
    <row r="10" spans="1:53" ht="55.5" customHeight="1" x14ac:dyDescent="0.2">
      <c r="A10" s="146" t="s">
        <v>4</v>
      </c>
      <c r="B10" s="146" t="s">
        <v>5</v>
      </c>
      <c r="C10" s="146" t="s">
        <v>6</v>
      </c>
      <c r="D10" s="146" t="s">
        <v>298</v>
      </c>
      <c r="E10" s="147" t="s">
        <v>19</v>
      </c>
      <c r="F10" s="147" t="s">
        <v>21</v>
      </c>
      <c r="G10" s="147" t="s">
        <v>20</v>
      </c>
      <c r="H10" s="148" t="s">
        <v>3</v>
      </c>
      <c r="I10" s="146" t="s">
        <v>7</v>
      </c>
    </row>
    <row r="11" spans="1:53" ht="15" x14ac:dyDescent="0.25">
      <c r="A11" s="144">
        <v>4</v>
      </c>
      <c r="B11" s="144">
        <v>43855</v>
      </c>
      <c r="C11" s="144" t="s">
        <v>28</v>
      </c>
      <c r="D11" s="144" t="s">
        <v>296</v>
      </c>
      <c r="E11" s="144"/>
      <c r="F11" s="144">
        <v>35</v>
      </c>
      <c r="G11" s="144"/>
      <c r="H11" s="144"/>
      <c r="I11" s="144">
        <v>35</v>
      </c>
    </row>
    <row r="12" spans="1:53" ht="15" x14ac:dyDescent="0.25">
      <c r="A12" s="144">
        <v>107</v>
      </c>
      <c r="B12" s="144">
        <v>43861</v>
      </c>
      <c r="C12" s="144" t="s">
        <v>27</v>
      </c>
      <c r="D12" s="144" t="s">
        <v>292</v>
      </c>
      <c r="E12" s="144"/>
      <c r="F12" s="144">
        <v>65</v>
      </c>
      <c r="G12" s="144"/>
      <c r="H12" s="144"/>
      <c r="I12" s="144">
        <v>65</v>
      </c>
    </row>
    <row r="13" spans="1:53" ht="15.75" x14ac:dyDescent="0.25">
      <c r="A13" s="144">
        <v>127</v>
      </c>
      <c r="B13" s="144">
        <v>43862</v>
      </c>
      <c r="C13" s="144" t="s">
        <v>28</v>
      </c>
      <c r="D13" s="144" t="s">
        <v>219</v>
      </c>
      <c r="E13" s="144"/>
      <c r="F13" s="144">
        <v>65</v>
      </c>
      <c r="G13" s="144"/>
      <c r="H13" s="144"/>
      <c r="I13" s="144">
        <v>65</v>
      </c>
      <c r="AO13" s="164" t="s">
        <v>8</v>
      </c>
      <c r="AP13" s="164"/>
      <c r="AQ13" s="164"/>
      <c r="AR13" s="164"/>
      <c r="AS13" s="165">
        <f>+SUM(E11:E20)</f>
        <v>0</v>
      </c>
      <c r="AT13" s="165">
        <f>+SUM(F11:F20)</f>
        <v>230</v>
      </c>
      <c r="AU13" s="165">
        <f>+SUM(G11:G20)</f>
        <v>0</v>
      </c>
      <c r="AV13" s="165">
        <f>+SUM(H11:H23)</f>
        <v>1080</v>
      </c>
      <c r="AW13" s="165">
        <f>+SUM(I11:I23)</f>
        <v>1310</v>
      </c>
    </row>
    <row r="14" spans="1:53" ht="15" x14ac:dyDescent="0.25">
      <c r="A14" s="144">
        <v>178</v>
      </c>
      <c r="B14" s="144">
        <v>43865</v>
      </c>
      <c r="C14" s="144" t="s">
        <v>24</v>
      </c>
      <c r="D14" s="144" t="s">
        <v>219</v>
      </c>
      <c r="E14" s="144"/>
      <c r="F14" s="144">
        <v>65</v>
      </c>
      <c r="G14" s="144"/>
      <c r="H14" s="144"/>
      <c r="I14" s="144">
        <v>65</v>
      </c>
      <c r="AS14" s="89">
        <f>+SUM(E11:E19)</f>
        <v>0</v>
      </c>
    </row>
    <row r="15" spans="1:53" ht="15" x14ac:dyDescent="0.25">
      <c r="A15" s="144">
        <v>273</v>
      </c>
      <c r="B15" s="144">
        <v>43855</v>
      </c>
      <c r="C15" s="144" t="s">
        <v>28</v>
      </c>
      <c r="D15" s="144" t="s">
        <v>292</v>
      </c>
      <c r="E15" s="144"/>
      <c r="F15" s="144"/>
      <c r="G15" s="144"/>
      <c r="H15" s="144">
        <v>120</v>
      </c>
      <c r="I15" s="144">
        <v>120</v>
      </c>
    </row>
    <row r="16" spans="1:53" ht="18.75" x14ac:dyDescent="0.3">
      <c r="A16" s="144">
        <v>274</v>
      </c>
      <c r="B16" s="144">
        <v>43856</v>
      </c>
      <c r="C16" s="144" t="s">
        <v>22</v>
      </c>
      <c r="D16" s="144" t="s">
        <v>292</v>
      </c>
      <c r="E16" s="144"/>
      <c r="F16" s="144"/>
      <c r="G16" s="144"/>
      <c r="H16" s="144">
        <v>120</v>
      </c>
      <c r="I16" s="144">
        <v>120</v>
      </c>
      <c r="AO16" s="116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2"/>
      <c r="BA16" s="2"/>
    </row>
    <row r="17" spans="1:53" ht="18.75" x14ac:dyDescent="0.3">
      <c r="A17" s="144">
        <v>275</v>
      </c>
      <c r="B17" s="144">
        <v>43857</v>
      </c>
      <c r="C17" s="144" t="s">
        <v>23</v>
      </c>
      <c r="D17" s="144" t="s">
        <v>292</v>
      </c>
      <c r="E17" s="144"/>
      <c r="F17" s="144"/>
      <c r="G17" s="144"/>
      <c r="H17" s="144">
        <v>120</v>
      </c>
      <c r="I17" s="144">
        <v>120</v>
      </c>
      <c r="AO17" s="116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2"/>
      <c r="BA17" s="2"/>
    </row>
    <row r="18" spans="1:53" ht="18.75" x14ac:dyDescent="0.3">
      <c r="A18" s="144">
        <v>276</v>
      </c>
      <c r="B18" s="144">
        <v>43858</v>
      </c>
      <c r="C18" s="144" t="s">
        <v>24</v>
      </c>
      <c r="D18" s="144" t="s">
        <v>292</v>
      </c>
      <c r="E18" s="144"/>
      <c r="F18" s="144"/>
      <c r="G18" s="144"/>
      <c r="H18" s="144">
        <v>120</v>
      </c>
      <c r="I18" s="144">
        <v>120</v>
      </c>
      <c r="AO18" s="116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2"/>
      <c r="BA18" s="2"/>
    </row>
    <row r="19" spans="1:53" ht="18.75" x14ac:dyDescent="0.3">
      <c r="A19" s="144">
        <v>277</v>
      </c>
      <c r="B19" s="144">
        <v>43861</v>
      </c>
      <c r="C19" s="144" t="s">
        <v>27</v>
      </c>
      <c r="D19" s="144" t="s">
        <v>292</v>
      </c>
      <c r="E19" s="144"/>
      <c r="F19" s="144"/>
      <c r="G19" s="144"/>
      <c r="H19" s="144">
        <v>120</v>
      </c>
      <c r="I19" s="144">
        <v>120</v>
      </c>
      <c r="AO19" s="116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2"/>
      <c r="BA19" s="2"/>
    </row>
    <row r="20" spans="1:53" ht="18.75" x14ac:dyDescent="0.3">
      <c r="A20" s="144">
        <v>278</v>
      </c>
      <c r="B20" s="144">
        <v>43862</v>
      </c>
      <c r="C20" s="144" t="s">
        <v>28</v>
      </c>
      <c r="D20" s="144" t="s">
        <v>292</v>
      </c>
      <c r="E20" s="144"/>
      <c r="F20" s="144"/>
      <c r="G20" s="144"/>
      <c r="H20" s="144">
        <v>120</v>
      </c>
      <c r="I20" s="144">
        <v>120</v>
      </c>
      <c r="AO20" s="116"/>
      <c r="AP20" s="116"/>
      <c r="AQ20" s="116"/>
      <c r="AR20" s="118"/>
      <c r="AS20" s="118"/>
      <c r="AT20" s="117"/>
      <c r="AU20" s="117"/>
      <c r="AV20" s="117"/>
      <c r="AW20" s="117"/>
      <c r="AX20" s="117"/>
      <c r="AY20" s="117"/>
      <c r="AZ20" s="2"/>
      <c r="BA20" s="2"/>
    </row>
    <row r="21" spans="1:53" ht="18.75" x14ac:dyDescent="0.3">
      <c r="A21" s="144">
        <v>279</v>
      </c>
      <c r="B21" s="144">
        <v>43863</v>
      </c>
      <c r="C21" s="144" t="s">
        <v>22</v>
      </c>
      <c r="D21" s="144" t="s">
        <v>292</v>
      </c>
      <c r="E21" s="144"/>
      <c r="F21" s="144"/>
      <c r="G21" s="144"/>
      <c r="H21" s="144">
        <v>120</v>
      </c>
      <c r="I21" s="144">
        <v>120</v>
      </c>
      <c r="AO21" s="116"/>
      <c r="AP21" s="116"/>
      <c r="AQ21" s="116"/>
      <c r="AR21" s="118"/>
      <c r="AS21" s="118"/>
      <c r="AT21" s="117"/>
      <c r="AU21" s="117"/>
      <c r="AV21" s="117"/>
      <c r="AW21" s="117"/>
      <c r="AX21" s="117"/>
      <c r="AY21" s="117"/>
      <c r="AZ21" s="2"/>
      <c r="BA21" s="2"/>
    </row>
    <row r="22" spans="1:53" ht="18.75" x14ac:dyDescent="0.3">
      <c r="A22" s="144">
        <v>280</v>
      </c>
      <c r="B22" s="144">
        <v>43864</v>
      </c>
      <c r="C22" s="144" t="s">
        <v>23</v>
      </c>
      <c r="D22" s="144" t="s">
        <v>292</v>
      </c>
      <c r="E22" s="144"/>
      <c r="F22" s="144"/>
      <c r="G22" s="144"/>
      <c r="H22" s="144">
        <v>120</v>
      </c>
      <c r="I22" s="144">
        <v>120</v>
      </c>
      <c r="J22" s="117"/>
      <c r="K22" s="117"/>
      <c r="AO22" s="116"/>
      <c r="AP22" s="116"/>
      <c r="AQ22" s="116"/>
      <c r="AR22" s="118"/>
      <c r="AS22" s="118"/>
      <c r="AT22" s="117"/>
      <c r="AU22" s="117"/>
      <c r="AV22" s="117"/>
      <c r="AW22" s="117"/>
      <c r="AX22" s="117"/>
      <c r="AY22" s="117"/>
      <c r="AZ22" s="2"/>
      <c r="BA22" s="2"/>
    </row>
    <row r="23" spans="1:53" ht="18.75" x14ac:dyDescent="0.3">
      <c r="A23" s="145">
        <v>281</v>
      </c>
      <c r="B23" s="145">
        <v>43865</v>
      </c>
      <c r="C23" s="145" t="s">
        <v>24</v>
      </c>
      <c r="D23" s="145" t="s">
        <v>292</v>
      </c>
      <c r="E23" s="145"/>
      <c r="F23" s="145"/>
      <c r="G23" s="145"/>
      <c r="H23" s="145">
        <v>120</v>
      </c>
      <c r="I23" s="145">
        <v>120</v>
      </c>
      <c r="J23" s="126"/>
      <c r="K23" s="117"/>
      <c r="AO23" s="116"/>
      <c r="AP23" s="116"/>
      <c r="AQ23" s="117"/>
      <c r="AR23" s="117"/>
      <c r="AS23" s="117"/>
      <c r="AT23" s="117"/>
      <c r="AU23" s="117"/>
      <c r="AV23" s="117"/>
      <c r="AW23" s="117"/>
      <c r="AX23" s="117"/>
      <c r="AY23" s="117"/>
      <c r="AZ23" s="2"/>
      <c r="BA23" s="2"/>
    </row>
    <row r="24" spans="1:53" ht="18.75" x14ac:dyDescent="0.3">
      <c r="A24" s="172" t="s">
        <v>8</v>
      </c>
      <c r="B24" s="172"/>
      <c r="C24" s="172"/>
      <c r="D24" s="172"/>
      <c r="E24" s="172">
        <v>0</v>
      </c>
      <c r="F24" s="172">
        <v>230</v>
      </c>
      <c r="G24" s="172">
        <v>0</v>
      </c>
      <c r="H24" s="172">
        <v>1080</v>
      </c>
      <c r="I24" s="172">
        <v>1310</v>
      </c>
      <c r="J24" s="150"/>
      <c r="AO24" s="117"/>
      <c r="AP24" s="117"/>
      <c r="AQ24" s="119"/>
      <c r="AR24" s="119"/>
      <c r="AS24" s="117"/>
      <c r="AT24" s="117"/>
      <c r="AU24" s="117"/>
      <c r="AV24" s="117"/>
      <c r="AW24" s="117"/>
      <c r="AX24" s="117"/>
      <c r="AY24" s="117"/>
      <c r="AZ24" s="2"/>
      <c r="BA24" s="2"/>
    </row>
    <row r="25" spans="1:53" ht="18" x14ac:dyDescent="0.25">
      <c r="A25" s="149"/>
      <c r="B25" s="149"/>
      <c r="C25" s="149"/>
      <c r="D25" s="149"/>
      <c r="E25" s="149"/>
      <c r="F25" s="149"/>
      <c r="G25" s="149"/>
      <c r="H25" s="149"/>
      <c r="I25" s="149"/>
      <c r="J25" s="10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"/>
      <c r="BA25" s="1"/>
    </row>
    <row r="26" spans="1:53" ht="18.75" x14ac:dyDescent="0.3">
      <c r="A26" s="149"/>
      <c r="B26" s="149"/>
      <c r="C26" s="149"/>
      <c r="D26" s="149"/>
      <c r="E26" s="149"/>
      <c r="F26" s="149"/>
      <c r="G26" s="149"/>
      <c r="H26" s="149"/>
      <c r="I26" s="149"/>
      <c r="J26" s="100"/>
      <c r="AO26" s="117" t="s">
        <v>336</v>
      </c>
      <c r="AP26" s="117"/>
      <c r="AQ26" s="117"/>
      <c r="AR26" s="117" t="s">
        <v>9</v>
      </c>
      <c r="AS26" s="117"/>
      <c r="AT26" s="117" t="s">
        <v>29</v>
      </c>
      <c r="AU26" s="117"/>
      <c r="AV26" s="117" t="s">
        <v>30</v>
      </c>
      <c r="AW26" s="117"/>
      <c r="AX26" s="117"/>
      <c r="AZ26" s="2"/>
      <c r="BA26" s="2"/>
    </row>
    <row r="27" spans="1:53" ht="18.75" x14ac:dyDescent="0.3">
      <c r="A27" s="81"/>
      <c r="B27" s="99"/>
      <c r="C27" s="80"/>
      <c r="D27" s="81"/>
      <c r="E27" s="81"/>
      <c r="F27" s="81"/>
      <c r="G27" s="81"/>
      <c r="H27" s="81"/>
      <c r="I27" s="80"/>
      <c r="J27" s="100"/>
      <c r="AO27" s="121" t="s">
        <v>10</v>
      </c>
      <c r="AP27" s="122"/>
      <c r="AQ27" s="123"/>
      <c r="AR27" s="117"/>
      <c r="AS27" s="117"/>
      <c r="AT27" s="124" t="s">
        <v>11</v>
      </c>
      <c r="AU27" s="125"/>
      <c r="AW27" s="126" t="s">
        <v>12</v>
      </c>
      <c r="AX27" s="117"/>
      <c r="BA27" s="3"/>
    </row>
    <row r="28" spans="1:53" ht="15.75" x14ac:dyDescent="0.25">
      <c r="A28" s="154"/>
      <c r="B28" s="155"/>
      <c r="C28" s="155"/>
      <c r="D28" s="155"/>
      <c r="E28" s="155"/>
      <c r="F28" s="155"/>
      <c r="G28" s="155"/>
      <c r="H28" s="155"/>
      <c r="I28" s="155"/>
      <c r="J28" s="155"/>
      <c r="K28" s="2"/>
      <c r="L28" s="2"/>
      <c r="M28" s="2"/>
    </row>
    <row r="29" spans="1:53" ht="18" x14ac:dyDescent="0.25">
      <c r="A29" s="156" t="s">
        <v>336</v>
      </c>
      <c r="B29" s="156"/>
      <c r="C29" s="156"/>
      <c r="D29" s="156" t="s">
        <v>9</v>
      </c>
      <c r="E29" s="156"/>
      <c r="F29" s="156" t="s">
        <v>29</v>
      </c>
      <c r="G29" s="156"/>
      <c r="H29" s="156" t="s">
        <v>30</v>
      </c>
      <c r="I29" s="156"/>
      <c r="J29" s="156"/>
      <c r="K29" s="120"/>
      <c r="L29" s="2"/>
      <c r="M29" s="2"/>
    </row>
    <row r="30" spans="1:53" ht="18.75" x14ac:dyDescent="0.3">
      <c r="A30" s="150" t="s">
        <v>10</v>
      </c>
      <c r="B30" s="150"/>
      <c r="C30" s="150"/>
      <c r="D30" s="150"/>
      <c r="E30" s="150"/>
      <c r="F30" s="150" t="s">
        <v>11</v>
      </c>
      <c r="G30" s="150"/>
      <c r="H30" s="150"/>
      <c r="I30" s="150" t="s">
        <v>12</v>
      </c>
      <c r="J30" s="150"/>
      <c r="K30" s="117"/>
      <c r="L30" s="2"/>
      <c r="M30" s="2"/>
    </row>
    <row r="31" spans="1:53" ht="18.75" x14ac:dyDescent="0.3">
      <c r="A31" s="151"/>
      <c r="B31" s="152"/>
      <c r="C31" s="152"/>
      <c r="D31" s="150"/>
      <c r="E31" s="150"/>
      <c r="F31" s="152"/>
      <c r="G31" s="153"/>
      <c r="H31" s="157"/>
      <c r="I31" s="157"/>
      <c r="J31" s="150"/>
      <c r="K31" s="124"/>
      <c r="L31" s="2"/>
      <c r="M31" s="2"/>
    </row>
    <row r="32" spans="1:53" ht="15.75" x14ac:dyDescent="0.25">
      <c r="A32" s="158"/>
      <c r="B32" s="154"/>
      <c r="C32" s="155"/>
      <c r="D32" s="155"/>
      <c r="E32" s="155"/>
      <c r="F32" s="155"/>
      <c r="G32" s="155"/>
      <c r="H32" s="155"/>
      <c r="I32" s="155"/>
      <c r="J32" s="2"/>
      <c r="K32" s="2"/>
      <c r="L32" s="2"/>
      <c r="M32" s="2"/>
    </row>
    <row r="33" spans="1:13" ht="15.75" x14ac:dyDescent="0.25">
      <c r="A33" s="155"/>
      <c r="B33" s="155"/>
      <c r="C33" s="155"/>
      <c r="D33" s="155"/>
      <c r="E33" s="155"/>
      <c r="F33" s="155"/>
      <c r="G33" s="155"/>
      <c r="H33" s="155"/>
      <c r="I33" s="155"/>
      <c r="J33" s="2"/>
      <c r="K33" s="2"/>
      <c r="L33" s="2"/>
      <c r="M33" s="2"/>
    </row>
    <row r="34" spans="1:13" x14ac:dyDescent="0.2">
      <c r="A34" s="159"/>
      <c r="B34" s="159"/>
      <c r="C34" s="159"/>
      <c r="D34" s="159"/>
      <c r="E34" s="159"/>
      <c r="F34" s="159"/>
      <c r="G34" s="159"/>
      <c r="H34" s="159"/>
      <c r="I34" s="159"/>
      <c r="J34" s="1"/>
      <c r="K34" s="1"/>
      <c r="L34" s="1"/>
      <c r="M34" s="1"/>
    </row>
    <row r="35" spans="1:13" ht="15.75" x14ac:dyDescent="0.25">
      <c r="A35" s="155"/>
      <c r="B35" s="155"/>
      <c r="C35" s="155"/>
      <c r="D35" s="155"/>
      <c r="E35" s="16"/>
      <c r="G35" s="155"/>
      <c r="H35" s="155"/>
      <c r="I35" s="155"/>
      <c r="J35" s="2"/>
      <c r="L35" s="2"/>
      <c r="M35" s="2"/>
    </row>
    <row r="36" spans="1:13" ht="15.75" x14ac:dyDescent="0.25">
      <c r="A36" s="160"/>
      <c r="B36" s="161"/>
      <c r="C36" s="161"/>
      <c r="D36" s="155"/>
      <c r="E36" s="161"/>
      <c r="G36" s="161"/>
      <c r="H36" s="162"/>
      <c r="I36" s="162"/>
      <c r="J36" s="2"/>
      <c r="K36" s="2"/>
      <c r="M36" s="3"/>
    </row>
    <row r="38" spans="1:13" ht="15" x14ac:dyDescent="0.25">
      <c r="A38" s="81"/>
      <c r="B38" s="99"/>
      <c r="C38" s="80"/>
      <c r="D38" s="81"/>
      <c r="E38" s="81"/>
      <c r="F38" s="81"/>
      <c r="G38" s="81"/>
      <c r="H38" s="81"/>
      <c r="I38" s="80"/>
    </row>
    <row r="39" spans="1:13" ht="15" x14ac:dyDescent="0.25">
      <c r="A39" s="81"/>
      <c r="B39" s="99"/>
      <c r="C39" s="80"/>
      <c r="D39" s="81"/>
      <c r="E39" s="81"/>
      <c r="F39" s="81"/>
      <c r="G39" s="81"/>
      <c r="H39" s="81"/>
      <c r="I39" s="80"/>
    </row>
    <row r="40" spans="1:13" ht="15" x14ac:dyDescent="0.25">
      <c r="A40" s="81"/>
      <c r="B40" s="99"/>
      <c r="C40" s="80"/>
      <c r="D40" s="81"/>
      <c r="E40" s="81"/>
      <c r="F40" s="81"/>
      <c r="G40" s="81"/>
      <c r="H40" s="81"/>
      <c r="I40" s="80"/>
    </row>
    <row r="41" spans="1:13" ht="15" x14ac:dyDescent="0.25">
      <c r="A41" s="81"/>
      <c r="B41" s="99"/>
      <c r="C41" s="80"/>
      <c r="D41" s="81"/>
      <c r="E41" s="81"/>
      <c r="F41" s="81"/>
      <c r="G41" s="81"/>
      <c r="H41" s="81"/>
      <c r="I41" s="80"/>
    </row>
    <row r="42" spans="1:13" ht="15" x14ac:dyDescent="0.25">
      <c r="A42" s="81"/>
      <c r="B42" s="99"/>
      <c r="C42" s="80"/>
      <c r="D42" s="81"/>
      <c r="E42" s="81"/>
      <c r="F42" s="81"/>
      <c r="G42" s="81"/>
      <c r="H42" s="81"/>
      <c r="I42" s="80"/>
    </row>
    <row r="43" spans="1:13" ht="15" x14ac:dyDescent="0.25">
      <c r="A43" s="81"/>
      <c r="B43" s="99"/>
      <c r="C43" s="80"/>
      <c r="D43" s="81"/>
      <c r="E43" s="81"/>
      <c r="F43" s="81"/>
      <c r="G43" s="81"/>
      <c r="H43" s="81"/>
      <c r="I43" s="80"/>
    </row>
    <row r="44" spans="1:13" ht="15" x14ac:dyDescent="0.25">
      <c r="A44" s="81"/>
      <c r="B44" s="99"/>
      <c r="C44" s="80"/>
      <c r="D44" s="81"/>
      <c r="E44" s="81"/>
      <c r="F44" s="81"/>
      <c r="G44" s="81"/>
      <c r="H44" s="81"/>
      <c r="I44" s="80"/>
    </row>
    <row r="45" spans="1:13" ht="15" x14ac:dyDescent="0.25">
      <c r="A45" s="81"/>
      <c r="B45" s="99"/>
      <c r="C45" s="80"/>
      <c r="D45" s="81"/>
      <c r="E45" s="81"/>
      <c r="F45" s="81"/>
      <c r="G45" s="81"/>
      <c r="H45" s="81"/>
      <c r="I45" s="80"/>
    </row>
    <row r="46" spans="1:13" ht="15" x14ac:dyDescent="0.25">
      <c r="A46" s="81"/>
      <c r="B46" s="99"/>
      <c r="C46" s="80"/>
      <c r="D46" s="81"/>
      <c r="E46" s="81"/>
      <c r="F46" s="81"/>
      <c r="G46" s="81"/>
      <c r="H46" s="81"/>
      <c r="I46" s="80"/>
    </row>
    <row r="47" spans="1:13" ht="15" x14ac:dyDescent="0.25">
      <c r="A47" s="81"/>
      <c r="B47" s="99"/>
      <c r="C47" s="80"/>
      <c r="D47" s="81"/>
      <c r="E47" s="81"/>
      <c r="F47" s="81"/>
      <c r="G47" s="81"/>
      <c r="H47" s="81"/>
      <c r="I47" s="80"/>
    </row>
    <row r="48" spans="1:13" ht="15" x14ac:dyDescent="0.25">
      <c r="A48" s="81"/>
      <c r="B48" s="99"/>
      <c r="C48" s="80"/>
      <c r="D48" s="81"/>
      <c r="E48" s="81"/>
      <c r="F48" s="81"/>
      <c r="G48" s="81"/>
      <c r="H48" s="81"/>
      <c r="I48" s="80"/>
    </row>
    <row r="49" spans="1:9" ht="15" x14ac:dyDescent="0.25">
      <c r="A49" s="81"/>
      <c r="B49" s="99"/>
      <c r="C49" s="80"/>
      <c r="D49" s="81"/>
      <c r="E49" s="81"/>
      <c r="F49" s="81"/>
      <c r="G49" s="81"/>
      <c r="H49" s="81"/>
      <c r="I49" s="80"/>
    </row>
    <row r="50" spans="1:9" ht="15" x14ac:dyDescent="0.25">
      <c r="A50" s="81"/>
      <c r="B50" s="99"/>
      <c r="C50" s="80"/>
      <c r="D50" s="81"/>
      <c r="E50" s="81"/>
      <c r="F50" s="81"/>
      <c r="G50" s="81"/>
      <c r="H50" s="81"/>
      <c r="I50" s="80"/>
    </row>
    <row r="51" spans="1:9" ht="15" x14ac:dyDescent="0.25">
      <c r="A51" s="81"/>
      <c r="B51" s="99"/>
      <c r="C51" s="80"/>
      <c r="D51" s="81"/>
      <c r="E51" s="81"/>
      <c r="F51" s="81"/>
      <c r="G51" s="81"/>
      <c r="H51" s="81"/>
      <c r="I51" s="80"/>
    </row>
    <row r="52" spans="1:9" ht="15" x14ac:dyDescent="0.25">
      <c r="A52" s="81"/>
      <c r="B52" s="99"/>
      <c r="C52" s="80"/>
      <c r="D52" s="81"/>
      <c r="E52" s="81"/>
      <c r="F52" s="81"/>
      <c r="G52" s="81"/>
      <c r="H52" s="81"/>
      <c r="I52" s="80"/>
    </row>
    <row r="53" spans="1:9" ht="15" x14ac:dyDescent="0.25">
      <c r="A53" s="81"/>
      <c r="B53" s="99"/>
      <c r="C53" s="80"/>
      <c r="D53" s="81"/>
      <c r="E53" s="81"/>
      <c r="F53" s="81"/>
      <c r="G53" s="81"/>
      <c r="H53" s="81"/>
      <c r="I53" s="80"/>
    </row>
    <row r="54" spans="1:9" ht="15" x14ac:dyDescent="0.25">
      <c r="A54" s="81"/>
      <c r="B54" s="99"/>
      <c r="C54" s="80"/>
      <c r="D54" s="81"/>
      <c r="E54" s="81"/>
      <c r="F54" s="81"/>
      <c r="G54" s="81"/>
      <c r="H54" s="81"/>
      <c r="I54" s="80"/>
    </row>
    <row r="55" spans="1:9" ht="15" x14ac:dyDescent="0.25">
      <c r="A55" s="81"/>
      <c r="B55" s="99"/>
      <c r="C55" s="80"/>
      <c r="D55" s="81"/>
      <c r="E55" s="81"/>
      <c r="F55" s="81"/>
      <c r="G55" s="81"/>
      <c r="H55" s="81"/>
      <c r="I55" s="80"/>
    </row>
    <row r="56" spans="1:9" ht="15" x14ac:dyDescent="0.25">
      <c r="A56" s="81"/>
      <c r="B56" s="99"/>
      <c r="C56" s="80"/>
      <c r="D56" s="81"/>
      <c r="E56" s="81"/>
      <c r="F56" s="81"/>
      <c r="G56" s="81"/>
      <c r="H56" s="81"/>
      <c r="I56" s="80"/>
    </row>
    <row r="57" spans="1:9" ht="15" x14ac:dyDescent="0.25">
      <c r="A57" s="81"/>
      <c r="B57" s="99"/>
      <c r="C57" s="80"/>
      <c r="D57" s="81"/>
      <c r="E57" s="81"/>
      <c r="F57" s="81"/>
      <c r="G57" s="81"/>
      <c r="H57" s="81"/>
      <c r="I57" s="80"/>
    </row>
    <row r="58" spans="1:9" ht="15" x14ac:dyDescent="0.25">
      <c r="A58" s="81"/>
      <c r="B58" s="99"/>
      <c r="C58" s="80"/>
      <c r="D58" s="81"/>
      <c r="E58" s="81"/>
      <c r="F58" s="81"/>
      <c r="G58" s="81"/>
      <c r="H58" s="81"/>
      <c r="I58" s="80"/>
    </row>
    <row r="59" spans="1:9" ht="15" x14ac:dyDescent="0.25">
      <c r="A59" s="81"/>
      <c r="B59" s="99"/>
      <c r="C59" s="80"/>
      <c r="D59" s="81"/>
      <c r="E59" s="81"/>
      <c r="F59" s="81"/>
      <c r="G59" s="81"/>
      <c r="H59" s="81"/>
      <c r="I59" s="80"/>
    </row>
    <row r="60" spans="1:9" ht="15" x14ac:dyDescent="0.25">
      <c r="A60" s="81"/>
      <c r="B60" s="99"/>
      <c r="C60" s="80"/>
      <c r="D60" s="81"/>
      <c r="E60" s="81"/>
      <c r="F60" s="81"/>
      <c r="G60" s="81"/>
      <c r="H60" s="81"/>
      <c r="I60" s="80"/>
    </row>
    <row r="61" spans="1:9" ht="15" x14ac:dyDescent="0.25">
      <c r="A61" s="81"/>
      <c r="B61" s="99"/>
      <c r="C61" s="80"/>
      <c r="D61" s="81"/>
      <c r="E61" s="81"/>
      <c r="F61" s="81"/>
      <c r="G61" s="81"/>
      <c r="H61" s="81"/>
      <c r="I61" s="80"/>
    </row>
    <row r="62" spans="1:9" ht="15" x14ac:dyDescent="0.25">
      <c r="A62" s="81"/>
      <c r="B62" s="99"/>
      <c r="C62" s="80"/>
      <c r="D62" s="81"/>
      <c r="E62" s="81"/>
      <c r="F62" s="81"/>
      <c r="G62" s="81"/>
      <c r="H62" s="81"/>
      <c r="I62" s="80"/>
    </row>
    <row r="63" spans="1:9" ht="15" x14ac:dyDescent="0.25">
      <c r="A63" s="81"/>
      <c r="B63" s="99"/>
      <c r="C63" s="80"/>
      <c r="D63" s="81"/>
      <c r="E63" s="81"/>
      <c r="F63" s="81"/>
      <c r="G63" s="81"/>
      <c r="H63" s="81"/>
      <c r="I63" s="80"/>
    </row>
    <row r="64" spans="1:9" ht="15" x14ac:dyDescent="0.25">
      <c r="A64" s="81"/>
      <c r="B64" s="99"/>
      <c r="C64" s="80"/>
      <c r="D64" s="81"/>
      <c r="E64" s="81"/>
      <c r="F64" s="81"/>
      <c r="G64" s="81"/>
      <c r="H64" s="81"/>
      <c r="I64" s="80"/>
    </row>
    <row r="65" spans="1:9" ht="15" x14ac:dyDescent="0.25">
      <c r="A65" s="81"/>
      <c r="B65" s="99"/>
      <c r="C65" s="80"/>
      <c r="D65" s="81"/>
      <c r="E65" s="81"/>
      <c r="F65" s="81"/>
      <c r="G65" s="81"/>
      <c r="H65" s="81"/>
      <c r="I65" s="80"/>
    </row>
    <row r="66" spans="1:9" ht="15" x14ac:dyDescent="0.25">
      <c r="A66" s="81"/>
      <c r="B66" s="99"/>
      <c r="C66" s="80"/>
      <c r="D66" s="81"/>
      <c r="E66" s="81"/>
      <c r="F66" s="81"/>
      <c r="G66" s="81"/>
      <c r="H66" s="81"/>
      <c r="I66" s="80"/>
    </row>
    <row r="67" spans="1:9" ht="15" x14ac:dyDescent="0.25">
      <c r="A67" s="81"/>
      <c r="B67" s="99"/>
      <c r="C67" s="80"/>
      <c r="D67" s="81"/>
      <c r="E67" s="81"/>
      <c r="F67" s="81"/>
      <c r="G67" s="81"/>
      <c r="H67" s="81"/>
      <c r="I67" s="80"/>
    </row>
    <row r="68" spans="1:9" ht="15" x14ac:dyDescent="0.25">
      <c r="A68" s="81"/>
      <c r="B68" s="99"/>
      <c r="C68" s="80"/>
      <c r="D68" s="81"/>
      <c r="E68" s="81"/>
      <c r="F68" s="81"/>
      <c r="G68" s="81"/>
      <c r="H68" s="81"/>
      <c r="I68" s="80"/>
    </row>
    <row r="69" spans="1:9" ht="15" x14ac:dyDescent="0.25">
      <c r="A69" s="81"/>
      <c r="B69" s="99"/>
      <c r="C69" s="80"/>
      <c r="D69" s="81"/>
      <c r="E69" s="81"/>
      <c r="F69" s="81"/>
      <c r="G69" s="81"/>
      <c r="H69" s="81"/>
      <c r="I69" s="80"/>
    </row>
    <row r="70" spans="1:9" ht="15" x14ac:dyDescent="0.25">
      <c r="A70" s="81"/>
      <c r="B70" s="99"/>
      <c r="C70" s="80"/>
      <c r="D70" s="81"/>
      <c r="E70" s="81"/>
      <c r="F70" s="81"/>
      <c r="G70" s="81"/>
      <c r="H70" s="81"/>
      <c r="I70" s="80"/>
    </row>
    <row r="71" spans="1:9" ht="15" x14ac:dyDescent="0.25">
      <c r="A71" s="81"/>
      <c r="B71" s="99"/>
      <c r="C71" s="80"/>
      <c r="D71" s="81"/>
      <c r="E71" s="81"/>
      <c r="F71" s="81"/>
      <c r="G71" s="81"/>
      <c r="H71" s="81"/>
      <c r="I71" s="80"/>
    </row>
    <row r="72" spans="1:9" ht="15" x14ac:dyDescent="0.25">
      <c r="A72" s="81"/>
      <c r="B72" s="99"/>
      <c r="C72" s="80"/>
      <c r="D72" s="81"/>
      <c r="E72" s="81"/>
      <c r="F72" s="81"/>
      <c r="G72" s="81"/>
      <c r="H72" s="81"/>
      <c r="I72" s="80"/>
    </row>
    <row r="73" spans="1:9" ht="15" x14ac:dyDescent="0.25">
      <c r="A73" s="81"/>
      <c r="B73" s="99"/>
      <c r="C73" s="80"/>
      <c r="D73" s="81"/>
      <c r="E73" s="81"/>
      <c r="F73" s="81"/>
      <c r="G73" s="81"/>
      <c r="H73" s="81"/>
      <c r="I73" s="80"/>
    </row>
    <row r="74" spans="1:9" ht="15" x14ac:dyDescent="0.25">
      <c r="A74" s="81"/>
      <c r="B74" s="99"/>
      <c r="C74" s="80"/>
      <c r="D74" s="81"/>
      <c r="E74" s="81"/>
      <c r="F74" s="81"/>
      <c r="G74" s="81"/>
      <c r="H74" s="81"/>
      <c r="I74" s="80"/>
    </row>
    <row r="75" spans="1:9" ht="15" x14ac:dyDescent="0.25">
      <c r="A75" s="81"/>
      <c r="B75" s="99"/>
      <c r="C75" s="80"/>
      <c r="D75" s="81"/>
      <c r="E75" s="81"/>
      <c r="F75" s="81"/>
      <c r="G75" s="81"/>
      <c r="H75" s="81"/>
      <c r="I75" s="80"/>
    </row>
    <row r="76" spans="1:9" ht="15" x14ac:dyDescent="0.25">
      <c r="A76" s="81"/>
      <c r="B76" s="99"/>
      <c r="C76" s="80"/>
      <c r="D76" s="81"/>
      <c r="E76" s="81"/>
      <c r="F76" s="81"/>
      <c r="G76" s="81"/>
      <c r="H76" s="81"/>
      <c r="I76" s="80"/>
    </row>
    <row r="77" spans="1:9" ht="15" x14ac:dyDescent="0.25">
      <c r="A77" s="81"/>
      <c r="B77" s="99"/>
      <c r="C77" s="80"/>
      <c r="D77" s="81"/>
      <c r="E77" s="81"/>
      <c r="F77" s="81"/>
      <c r="G77" s="81"/>
      <c r="H77" s="81"/>
      <c r="I77" s="80"/>
    </row>
    <row r="78" spans="1:9" ht="15" x14ac:dyDescent="0.25">
      <c r="A78" s="81"/>
      <c r="B78" s="99"/>
      <c r="C78" s="80"/>
      <c r="D78" s="81"/>
      <c r="E78" s="81"/>
      <c r="F78" s="81"/>
      <c r="G78" s="81"/>
      <c r="H78" s="81"/>
      <c r="I78" s="80"/>
    </row>
    <row r="79" spans="1:9" ht="15" x14ac:dyDescent="0.25">
      <c r="A79" s="81"/>
      <c r="B79" s="99"/>
      <c r="C79" s="80"/>
      <c r="D79" s="81"/>
      <c r="E79" s="81"/>
      <c r="F79" s="81"/>
      <c r="G79" s="81"/>
      <c r="H79" s="81"/>
      <c r="I79" s="80"/>
    </row>
    <row r="80" spans="1:9" ht="15" x14ac:dyDescent="0.25">
      <c r="A80" s="81"/>
      <c r="B80" s="99"/>
      <c r="C80" s="80"/>
      <c r="D80" s="81"/>
      <c r="E80" s="81"/>
      <c r="F80" s="81"/>
      <c r="G80" s="81"/>
      <c r="H80" s="81"/>
      <c r="I80" s="80"/>
    </row>
    <row r="81" spans="1:9" ht="15" x14ac:dyDescent="0.25">
      <c r="A81" s="81"/>
      <c r="B81" s="99"/>
      <c r="C81" s="80"/>
      <c r="D81" s="81"/>
      <c r="E81" s="81"/>
      <c r="F81" s="81"/>
      <c r="G81" s="81"/>
      <c r="H81" s="81"/>
      <c r="I81" s="80"/>
    </row>
    <row r="82" spans="1:9" ht="15" x14ac:dyDescent="0.25">
      <c r="A82" s="81"/>
      <c r="B82" s="99"/>
      <c r="C82" s="80"/>
      <c r="D82" s="81"/>
      <c r="E82" s="81"/>
      <c r="F82" s="81"/>
      <c r="G82" s="81"/>
      <c r="H82" s="81"/>
      <c r="I82" s="80"/>
    </row>
    <row r="83" spans="1:9" ht="15" x14ac:dyDescent="0.25">
      <c r="A83" s="81"/>
      <c r="B83" s="99"/>
      <c r="C83" s="80"/>
      <c r="D83" s="81"/>
      <c r="E83" s="81"/>
      <c r="F83" s="81"/>
      <c r="G83" s="81"/>
      <c r="H83" s="81"/>
      <c r="I83" s="80"/>
    </row>
    <row r="84" spans="1:9" ht="15" x14ac:dyDescent="0.25">
      <c r="A84" s="81"/>
      <c r="B84" s="99"/>
      <c r="C84" s="80"/>
      <c r="D84" s="81"/>
      <c r="E84" s="81"/>
      <c r="F84" s="81"/>
      <c r="G84" s="81"/>
      <c r="H84" s="81"/>
      <c r="I84" s="80"/>
    </row>
    <row r="85" spans="1:9" ht="15" x14ac:dyDescent="0.25">
      <c r="A85" s="81"/>
      <c r="B85" s="99"/>
      <c r="C85" s="80"/>
      <c r="D85" s="81"/>
      <c r="E85" s="81"/>
      <c r="F85" s="81"/>
      <c r="G85" s="81"/>
      <c r="H85" s="81"/>
      <c r="I85" s="80"/>
    </row>
    <row r="86" spans="1:9" ht="15" x14ac:dyDescent="0.25">
      <c r="A86" s="81"/>
      <c r="B86" s="99"/>
      <c r="C86" s="80"/>
      <c r="D86" s="81"/>
      <c r="E86" s="81"/>
      <c r="F86" s="81"/>
      <c r="G86" s="81"/>
      <c r="H86" s="81"/>
      <c r="I86" s="80"/>
    </row>
    <row r="87" spans="1:9" ht="15" x14ac:dyDescent="0.25">
      <c r="A87" s="81"/>
      <c r="B87" s="99"/>
      <c r="C87" s="80"/>
      <c r="D87" s="81"/>
      <c r="E87" s="81"/>
      <c r="F87" s="81"/>
      <c r="G87" s="81"/>
      <c r="H87" s="81"/>
      <c r="I87" s="80"/>
    </row>
    <row r="88" spans="1:9" ht="15" x14ac:dyDescent="0.25">
      <c r="A88" s="81"/>
      <c r="B88" s="99"/>
      <c r="C88" s="80"/>
      <c r="D88" s="81"/>
      <c r="E88" s="81"/>
      <c r="F88" s="81"/>
      <c r="G88" s="81"/>
      <c r="H88" s="81"/>
      <c r="I88" s="80"/>
    </row>
    <row r="89" spans="1:9" ht="15" x14ac:dyDescent="0.25">
      <c r="A89" s="81"/>
      <c r="B89" s="99"/>
      <c r="C89" s="80"/>
      <c r="D89" s="81"/>
      <c r="E89" s="81"/>
      <c r="F89" s="81"/>
      <c r="G89" s="81"/>
      <c r="H89" s="81"/>
      <c r="I89" s="80"/>
    </row>
    <row r="90" spans="1:9" ht="15" x14ac:dyDescent="0.25">
      <c r="A90" s="81"/>
      <c r="B90" s="99"/>
      <c r="C90" s="80"/>
      <c r="D90" s="81"/>
      <c r="E90" s="81"/>
      <c r="F90" s="81"/>
      <c r="G90" s="81"/>
      <c r="H90" s="81"/>
      <c r="I90" s="80"/>
    </row>
    <row r="91" spans="1:9" ht="15" x14ac:dyDescent="0.25">
      <c r="A91" s="81"/>
      <c r="B91" s="99"/>
      <c r="C91" s="80"/>
      <c r="D91" s="81"/>
      <c r="E91" s="81"/>
      <c r="F91" s="81"/>
      <c r="G91" s="81"/>
      <c r="H91" s="81"/>
      <c r="I91" s="80"/>
    </row>
    <row r="92" spans="1:9" ht="15" x14ac:dyDescent="0.25">
      <c r="A92" s="81"/>
      <c r="B92" s="99"/>
      <c r="C92" s="80"/>
      <c r="D92" s="81"/>
      <c r="E92" s="81"/>
      <c r="F92" s="81"/>
      <c r="G92" s="81"/>
      <c r="H92" s="81"/>
      <c r="I92" s="80"/>
    </row>
    <row r="93" spans="1:9" ht="15" x14ac:dyDescent="0.25">
      <c r="A93" s="81"/>
      <c r="B93" s="99"/>
      <c r="C93" s="80"/>
      <c r="D93" s="81"/>
      <c r="E93" s="81"/>
      <c r="F93" s="81"/>
      <c r="G93" s="81"/>
      <c r="H93" s="81"/>
      <c r="I93" s="80"/>
    </row>
    <row r="94" spans="1:9" ht="15" x14ac:dyDescent="0.25">
      <c r="A94" s="81"/>
      <c r="B94" s="99"/>
      <c r="C94" s="80"/>
      <c r="D94" s="81"/>
      <c r="E94" s="81"/>
      <c r="F94" s="81"/>
      <c r="G94" s="81"/>
      <c r="H94" s="81"/>
      <c r="I94" s="80"/>
    </row>
    <row r="95" spans="1:9" ht="15" x14ac:dyDescent="0.25">
      <c r="A95" s="81"/>
      <c r="B95" s="99"/>
      <c r="C95" s="80"/>
      <c r="D95" s="81"/>
      <c r="E95" s="81"/>
      <c r="F95" s="81"/>
      <c r="G95" s="81"/>
      <c r="H95" s="81"/>
      <c r="I95" s="80"/>
    </row>
    <row r="96" spans="1:9" ht="15" x14ac:dyDescent="0.25">
      <c r="A96" s="81"/>
      <c r="B96" s="99"/>
      <c r="C96" s="80"/>
      <c r="D96" s="81"/>
      <c r="E96" s="81"/>
      <c r="F96" s="81"/>
      <c r="G96" s="81"/>
      <c r="H96" s="81"/>
      <c r="I96" s="80"/>
    </row>
    <row r="97" spans="1:9" ht="15" x14ac:dyDescent="0.25">
      <c r="A97" s="81"/>
      <c r="B97" s="99"/>
      <c r="C97" s="80"/>
      <c r="D97" s="81"/>
      <c r="E97" s="81"/>
      <c r="F97" s="81"/>
      <c r="G97" s="81"/>
      <c r="H97" s="81"/>
      <c r="I97" s="80"/>
    </row>
    <row r="98" spans="1:9" ht="15" x14ac:dyDescent="0.25">
      <c r="A98" s="81"/>
      <c r="B98" s="99"/>
      <c r="C98" s="80"/>
      <c r="D98" s="81"/>
      <c r="E98" s="81"/>
      <c r="F98" s="81"/>
      <c r="G98" s="81"/>
      <c r="H98" s="81"/>
      <c r="I98" s="80"/>
    </row>
    <row r="99" spans="1:9" ht="15" x14ac:dyDescent="0.25">
      <c r="A99" s="81"/>
      <c r="B99" s="99"/>
      <c r="C99" s="80"/>
      <c r="D99" s="81"/>
      <c r="E99" s="81"/>
      <c r="F99" s="81"/>
      <c r="G99" s="81"/>
      <c r="H99" s="81"/>
      <c r="I99" s="80"/>
    </row>
    <row r="100" spans="1:9" ht="15" x14ac:dyDescent="0.25">
      <c r="A100" s="81"/>
      <c r="B100" s="99"/>
      <c r="C100" s="80"/>
      <c r="D100" s="81"/>
      <c r="E100" s="81"/>
      <c r="F100" s="81"/>
      <c r="G100" s="81"/>
      <c r="H100" s="81"/>
      <c r="I100" s="80"/>
    </row>
    <row r="101" spans="1:9" ht="15" x14ac:dyDescent="0.25">
      <c r="A101" s="81"/>
      <c r="B101" s="99"/>
      <c r="C101" s="80"/>
      <c r="D101" s="81"/>
      <c r="E101" s="81"/>
      <c r="F101" s="81"/>
      <c r="G101" s="81"/>
      <c r="H101" s="81"/>
      <c r="I101" s="80"/>
    </row>
    <row r="102" spans="1:9" ht="15" x14ac:dyDescent="0.25">
      <c r="A102" s="81"/>
      <c r="B102" s="99"/>
      <c r="C102" s="80"/>
      <c r="D102" s="81"/>
      <c r="E102" s="81"/>
      <c r="F102" s="81"/>
      <c r="G102" s="81"/>
      <c r="H102" s="81"/>
      <c r="I102" s="80"/>
    </row>
    <row r="103" spans="1:9" ht="15" x14ac:dyDescent="0.25">
      <c r="A103" s="81"/>
      <c r="B103" s="99"/>
      <c r="C103" s="80"/>
      <c r="D103" s="81"/>
      <c r="E103" s="81"/>
      <c r="F103" s="81"/>
      <c r="G103" s="81"/>
      <c r="H103" s="81"/>
      <c r="I103" s="80"/>
    </row>
    <row r="104" spans="1:9" ht="15" x14ac:dyDescent="0.25">
      <c r="A104" s="81"/>
      <c r="B104" s="99"/>
      <c r="C104" s="80"/>
      <c r="D104" s="81"/>
      <c r="E104" s="81"/>
      <c r="F104" s="81"/>
      <c r="G104" s="81"/>
      <c r="H104" s="81"/>
      <c r="I104" s="80"/>
    </row>
    <row r="105" spans="1:9" ht="15" x14ac:dyDescent="0.25">
      <c r="A105" s="81"/>
      <c r="B105" s="99"/>
      <c r="C105" s="80"/>
      <c r="D105" s="81"/>
      <c r="E105" s="81"/>
      <c r="F105" s="81"/>
      <c r="G105" s="81"/>
      <c r="H105" s="81"/>
      <c r="I105" s="80"/>
    </row>
    <row r="106" spans="1:9" ht="15" x14ac:dyDescent="0.25">
      <c r="A106" s="81"/>
      <c r="B106" s="99"/>
      <c r="C106" s="80"/>
      <c r="D106" s="81"/>
      <c r="E106" s="81"/>
      <c r="F106" s="81"/>
      <c r="G106" s="81"/>
      <c r="H106" s="81"/>
      <c r="I106" s="80"/>
    </row>
    <row r="107" spans="1:9" ht="15" x14ac:dyDescent="0.25">
      <c r="A107" s="81"/>
      <c r="B107" s="99"/>
      <c r="C107" s="80"/>
      <c r="D107" s="81"/>
      <c r="E107" s="81"/>
      <c r="F107" s="81"/>
      <c r="G107" s="81"/>
      <c r="H107" s="81"/>
      <c r="I107" s="80"/>
    </row>
    <row r="108" spans="1:9" ht="15" x14ac:dyDescent="0.25">
      <c r="A108" s="81"/>
      <c r="B108" s="99"/>
      <c r="C108" s="80"/>
      <c r="D108" s="81"/>
      <c r="E108" s="81"/>
      <c r="F108" s="81"/>
      <c r="G108" s="81"/>
      <c r="H108" s="81"/>
      <c r="I108" s="80"/>
    </row>
    <row r="109" spans="1:9" ht="15" x14ac:dyDescent="0.25">
      <c r="A109" s="81"/>
      <c r="B109" s="99"/>
      <c r="C109" s="80"/>
      <c r="D109" s="81"/>
      <c r="E109" s="81"/>
      <c r="F109" s="81"/>
      <c r="G109" s="81"/>
      <c r="H109" s="81"/>
      <c r="I109" s="80"/>
    </row>
    <row r="110" spans="1:9" ht="15" x14ac:dyDescent="0.25">
      <c r="A110" s="81"/>
      <c r="B110" s="99"/>
      <c r="C110" s="80"/>
      <c r="D110" s="81"/>
      <c r="E110" s="81"/>
      <c r="F110" s="81"/>
      <c r="G110" s="81"/>
      <c r="H110" s="81"/>
      <c r="I110" s="80"/>
    </row>
    <row r="111" spans="1:9" ht="15" x14ac:dyDescent="0.25">
      <c r="A111" s="81"/>
      <c r="B111" s="99"/>
      <c r="C111" s="80"/>
      <c r="D111" s="81"/>
      <c r="E111" s="81"/>
      <c r="F111" s="81"/>
      <c r="G111" s="81"/>
      <c r="H111" s="81"/>
      <c r="I111" s="80"/>
    </row>
    <row r="112" spans="1:9" ht="15" x14ac:dyDescent="0.25">
      <c r="A112" s="81"/>
      <c r="B112" s="99"/>
      <c r="C112" s="80"/>
      <c r="D112" s="81"/>
      <c r="E112" s="81"/>
      <c r="F112" s="81"/>
      <c r="G112" s="81"/>
      <c r="H112" s="81"/>
      <c r="I112" s="80"/>
    </row>
    <row r="113" spans="1:9" ht="15" x14ac:dyDescent="0.25">
      <c r="A113" s="81"/>
      <c r="B113" s="99"/>
      <c r="C113" s="80"/>
      <c r="D113" s="81"/>
      <c r="E113" s="81"/>
      <c r="F113" s="81"/>
      <c r="G113" s="81"/>
      <c r="H113" s="81"/>
      <c r="I113" s="80"/>
    </row>
    <row r="114" spans="1:9" ht="15" x14ac:dyDescent="0.25">
      <c r="A114" s="81"/>
      <c r="B114" s="99"/>
      <c r="C114" s="80"/>
      <c r="D114" s="81"/>
      <c r="E114" s="81"/>
      <c r="F114" s="81"/>
      <c r="G114" s="81"/>
      <c r="H114" s="81"/>
      <c r="I114" s="80"/>
    </row>
    <row r="115" spans="1:9" ht="15" x14ac:dyDescent="0.25">
      <c r="A115" s="81"/>
      <c r="B115" s="99"/>
      <c r="C115" s="80"/>
      <c r="D115" s="81"/>
      <c r="E115" s="81"/>
      <c r="F115" s="81"/>
      <c r="G115" s="81"/>
      <c r="H115" s="81"/>
      <c r="I115" s="80"/>
    </row>
    <row r="116" spans="1:9" ht="15" x14ac:dyDescent="0.25">
      <c r="A116" s="81"/>
      <c r="B116" s="99"/>
      <c r="C116" s="80"/>
      <c r="D116" s="81"/>
      <c r="E116" s="81"/>
      <c r="F116" s="81"/>
      <c r="G116" s="81"/>
      <c r="H116" s="81"/>
      <c r="I116" s="80"/>
    </row>
    <row r="117" spans="1:9" ht="15" x14ac:dyDescent="0.25">
      <c r="A117" s="81"/>
      <c r="B117" s="99"/>
      <c r="C117" s="80"/>
      <c r="D117" s="81"/>
      <c r="E117" s="81"/>
      <c r="F117" s="81"/>
      <c r="G117" s="81"/>
      <c r="H117" s="81"/>
      <c r="I117" s="80"/>
    </row>
    <row r="118" spans="1:9" ht="15" x14ac:dyDescent="0.25">
      <c r="A118" s="81"/>
      <c r="B118" s="99"/>
      <c r="C118" s="80"/>
      <c r="D118" s="81"/>
      <c r="E118" s="81"/>
      <c r="F118" s="81"/>
      <c r="G118" s="81"/>
      <c r="H118" s="81"/>
      <c r="I118" s="80"/>
    </row>
    <row r="119" spans="1:9" ht="15" x14ac:dyDescent="0.25">
      <c r="A119" s="81"/>
      <c r="B119" s="99"/>
      <c r="C119" s="80"/>
      <c r="D119" s="81"/>
      <c r="E119" s="81"/>
      <c r="F119" s="81"/>
      <c r="G119" s="81"/>
      <c r="H119" s="81"/>
      <c r="I119" s="80"/>
    </row>
    <row r="120" spans="1:9" ht="15" x14ac:dyDescent="0.25">
      <c r="A120" s="81"/>
      <c r="B120" s="99"/>
      <c r="C120" s="80"/>
      <c r="D120" s="81"/>
      <c r="E120" s="81"/>
      <c r="F120" s="81"/>
      <c r="G120" s="81"/>
      <c r="H120" s="81"/>
      <c r="I120" s="80"/>
    </row>
    <row r="121" spans="1:9" ht="15" x14ac:dyDescent="0.25">
      <c r="A121" s="81"/>
      <c r="B121" s="99"/>
      <c r="C121" s="80"/>
      <c r="D121" s="81"/>
      <c r="E121" s="81"/>
      <c r="F121" s="81"/>
      <c r="G121" s="81"/>
      <c r="H121" s="81"/>
      <c r="I121" s="80"/>
    </row>
    <row r="122" spans="1:9" ht="15" x14ac:dyDescent="0.25">
      <c r="A122" s="81"/>
      <c r="B122" s="99"/>
      <c r="C122" s="80"/>
      <c r="D122" s="81"/>
      <c r="E122" s="81"/>
      <c r="F122" s="81"/>
      <c r="G122" s="81"/>
      <c r="H122" s="81"/>
      <c r="I122" s="80"/>
    </row>
    <row r="123" spans="1:9" ht="15" x14ac:dyDescent="0.25">
      <c r="A123" s="81"/>
      <c r="B123" s="99"/>
      <c r="C123" s="80"/>
      <c r="D123" s="81"/>
      <c r="E123" s="81"/>
      <c r="F123" s="81"/>
      <c r="G123" s="81"/>
      <c r="H123" s="81"/>
      <c r="I123" s="80"/>
    </row>
    <row r="124" spans="1:9" ht="15" x14ac:dyDescent="0.25">
      <c r="A124" s="81"/>
      <c r="B124" s="99"/>
      <c r="C124" s="80"/>
      <c r="D124" s="81"/>
      <c r="E124" s="81"/>
      <c r="F124" s="81"/>
      <c r="G124" s="81"/>
      <c r="H124" s="81"/>
      <c r="I124" s="80"/>
    </row>
    <row r="125" spans="1:9" ht="15" x14ac:dyDescent="0.25">
      <c r="A125" s="81"/>
      <c r="B125" s="99"/>
      <c r="C125" s="80"/>
      <c r="D125" s="81"/>
      <c r="E125" s="81"/>
      <c r="F125" s="81"/>
      <c r="G125" s="81"/>
      <c r="H125" s="81"/>
      <c r="I125" s="80"/>
    </row>
    <row r="126" spans="1:9" ht="15" x14ac:dyDescent="0.25">
      <c r="A126" s="81"/>
      <c r="B126" s="99"/>
      <c r="C126" s="80"/>
      <c r="D126" s="81"/>
      <c r="E126" s="81"/>
      <c r="F126" s="81"/>
      <c r="G126" s="81"/>
      <c r="H126" s="81"/>
      <c r="I126" s="80"/>
    </row>
    <row r="127" spans="1:9" ht="15" x14ac:dyDescent="0.25">
      <c r="A127" s="81"/>
      <c r="B127" s="99"/>
      <c r="C127" s="80"/>
      <c r="D127" s="81"/>
      <c r="E127" s="81"/>
      <c r="F127" s="81"/>
      <c r="G127" s="81"/>
      <c r="H127" s="81"/>
      <c r="I127" s="80"/>
    </row>
    <row r="128" spans="1:9" ht="15" x14ac:dyDescent="0.25">
      <c r="A128" s="81"/>
      <c r="B128" s="99"/>
      <c r="C128" s="80"/>
      <c r="D128" s="81"/>
      <c r="E128" s="81"/>
      <c r="F128" s="81"/>
      <c r="G128" s="81"/>
      <c r="H128" s="81"/>
      <c r="I128" s="80"/>
    </row>
    <row r="129" spans="1:9" ht="15" x14ac:dyDescent="0.25">
      <c r="A129" s="81"/>
      <c r="B129" s="99"/>
      <c r="C129" s="80"/>
      <c r="D129" s="81"/>
      <c r="E129" s="81"/>
      <c r="F129" s="81"/>
      <c r="G129" s="81"/>
      <c r="H129" s="81"/>
      <c r="I129" s="80"/>
    </row>
    <row r="130" spans="1:9" ht="15" x14ac:dyDescent="0.25">
      <c r="A130" s="81"/>
      <c r="B130" s="99"/>
      <c r="C130" s="80"/>
      <c r="D130" s="81"/>
      <c r="E130" s="81"/>
      <c r="F130" s="81"/>
      <c r="G130" s="81"/>
      <c r="H130" s="81"/>
      <c r="I130" s="80"/>
    </row>
    <row r="131" spans="1:9" ht="15" x14ac:dyDescent="0.25">
      <c r="A131" s="81"/>
      <c r="B131" s="99"/>
      <c r="C131" s="80"/>
      <c r="D131" s="81"/>
      <c r="E131" s="81"/>
      <c r="F131" s="81"/>
      <c r="G131" s="81"/>
      <c r="H131" s="81"/>
      <c r="I131" s="80"/>
    </row>
    <row r="132" spans="1:9" ht="15" x14ac:dyDescent="0.25">
      <c r="A132" s="81"/>
      <c r="B132" s="99"/>
      <c r="C132" s="80"/>
      <c r="D132" s="81"/>
      <c r="E132" s="81"/>
      <c r="F132" s="81"/>
      <c r="G132" s="81"/>
      <c r="H132" s="81"/>
      <c r="I132" s="80"/>
    </row>
    <row r="133" spans="1:9" ht="15" x14ac:dyDescent="0.25">
      <c r="A133" s="81"/>
      <c r="B133" s="99"/>
      <c r="C133" s="80"/>
      <c r="D133" s="81"/>
      <c r="E133" s="81"/>
      <c r="F133" s="81"/>
      <c r="G133" s="81"/>
      <c r="H133" s="81"/>
      <c r="I133" s="80"/>
    </row>
    <row r="134" spans="1:9" ht="15" x14ac:dyDescent="0.25">
      <c r="A134" s="81"/>
      <c r="B134" s="99"/>
      <c r="C134" s="80"/>
      <c r="D134" s="81"/>
      <c r="E134" s="81"/>
      <c r="F134" s="81"/>
      <c r="G134" s="81"/>
      <c r="H134" s="81"/>
      <c r="I134" s="80"/>
    </row>
    <row r="135" spans="1:9" ht="15" x14ac:dyDescent="0.25">
      <c r="A135" s="81"/>
      <c r="B135" s="99"/>
      <c r="C135" s="80"/>
      <c r="D135" s="81"/>
      <c r="E135" s="81"/>
      <c r="F135" s="81"/>
      <c r="G135" s="81"/>
      <c r="H135" s="81"/>
      <c r="I135" s="80"/>
    </row>
    <row r="136" spans="1:9" ht="15" x14ac:dyDescent="0.25">
      <c r="A136" s="81"/>
      <c r="B136" s="99"/>
      <c r="C136" s="80"/>
      <c r="D136" s="81"/>
      <c r="E136" s="81"/>
      <c r="F136" s="81"/>
      <c r="G136" s="81"/>
      <c r="H136" s="81"/>
      <c r="I136" s="80"/>
    </row>
    <row r="137" spans="1:9" ht="15" x14ac:dyDescent="0.25">
      <c r="A137" s="81"/>
      <c r="B137" s="99"/>
      <c r="C137" s="80"/>
      <c r="D137" s="81"/>
      <c r="E137" s="81"/>
      <c r="F137" s="81"/>
      <c r="G137" s="81"/>
      <c r="H137" s="81"/>
      <c r="I137" s="80"/>
    </row>
    <row r="138" spans="1:9" ht="15" x14ac:dyDescent="0.25">
      <c r="A138" s="81"/>
      <c r="B138" s="99"/>
      <c r="C138" s="80"/>
      <c r="D138" s="81"/>
      <c r="E138" s="81"/>
      <c r="F138" s="81"/>
      <c r="G138" s="81"/>
      <c r="H138" s="81"/>
      <c r="I138" s="80"/>
    </row>
    <row r="139" spans="1:9" ht="15" x14ac:dyDescent="0.25">
      <c r="A139" s="81"/>
      <c r="B139" s="99"/>
      <c r="C139" s="80"/>
      <c r="D139" s="81"/>
      <c r="E139" s="81"/>
      <c r="F139" s="81"/>
      <c r="G139" s="81"/>
      <c r="H139" s="81"/>
      <c r="I139" s="80"/>
    </row>
    <row r="140" spans="1:9" ht="15" x14ac:dyDescent="0.25">
      <c r="A140" s="81"/>
      <c r="B140" s="99"/>
      <c r="C140" s="80"/>
      <c r="D140" s="81"/>
      <c r="E140" s="81"/>
      <c r="F140" s="81"/>
      <c r="G140" s="81"/>
      <c r="H140" s="81"/>
      <c r="I140" s="80"/>
    </row>
    <row r="141" spans="1:9" ht="15" x14ac:dyDescent="0.25">
      <c r="A141" s="81"/>
      <c r="B141" s="99"/>
      <c r="C141" s="80"/>
      <c r="D141" s="81"/>
      <c r="E141" s="81"/>
      <c r="F141" s="81"/>
      <c r="G141" s="81"/>
      <c r="H141" s="81"/>
      <c r="I141" s="80"/>
    </row>
    <row r="142" spans="1:9" ht="15" x14ac:dyDescent="0.25">
      <c r="A142" s="81"/>
      <c r="B142" s="99"/>
      <c r="C142" s="80"/>
      <c r="D142" s="81"/>
      <c r="E142" s="81"/>
      <c r="F142" s="81"/>
      <c r="G142" s="81"/>
      <c r="H142" s="81"/>
      <c r="I142" s="80"/>
    </row>
    <row r="143" spans="1:9" ht="15" x14ac:dyDescent="0.25">
      <c r="A143" s="81"/>
      <c r="B143" s="99"/>
      <c r="C143" s="80"/>
      <c r="D143" s="81"/>
      <c r="E143" s="81"/>
      <c r="F143" s="81"/>
      <c r="G143" s="81"/>
      <c r="H143" s="81"/>
      <c r="I143" s="80"/>
    </row>
    <row r="144" spans="1:9" ht="15" x14ac:dyDescent="0.25">
      <c r="A144" s="81"/>
      <c r="B144" s="99"/>
      <c r="C144" s="80"/>
      <c r="D144" s="81"/>
      <c r="E144" s="81"/>
      <c r="F144" s="81"/>
      <c r="G144" s="81"/>
      <c r="H144" s="81"/>
      <c r="I144" s="80"/>
    </row>
    <row r="145" spans="1:9" ht="15" x14ac:dyDescent="0.25">
      <c r="A145" s="81"/>
      <c r="B145" s="99"/>
      <c r="C145" s="80"/>
      <c r="D145" s="81"/>
      <c r="E145" s="81"/>
      <c r="F145" s="81"/>
      <c r="G145" s="81"/>
      <c r="H145" s="81"/>
      <c r="I145" s="80"/>
    </row>
    <row r="146" spans="1:9" ht="15" x14ac:dyDescent="0.25">
      <c r="A146" s="81"/>
      <c r="B146" s="99"/>
      <c r="C146" s="80"/>
      <c r="D146" s="81"/>
      <c r="E146" s="81"/>
      <c r="F146" s="81"/>
      <c r="G146" s="81"/>
      <c r="H146" s="81"/>
      <c r="I146" s="80"/>
    </row>
    <row r="147" spans="1:9" ht="15" x14ac:dyDescent="0.25">
      <c r="A147" s="81"/>
      <c r="B147" s="99"/>
      <c r="C147" s="80"/>
      <c r="D147" s="81"/>
      <c r="E147" s="81"/>
      <c r="F147" s="81"/>
      <c r="G147" s="81"/>
      <c r="H147" s="81"/>
      <c r="I147" s="80"/>
    </row>
    <row r="148" spans="1:9" ht="15" x14ac:dyDescent="0.25">
      <c r="A148" s="81"/>
      <c r="B148" s="99"/>
      <c r="C148" s="80"/>
      <c r="D148" s="81"/>
      <c r="E148" s="81"/>
      <c r="F148" s="81"/>
      <c r="G148" s="81"/>
      <c r="H148" s="81"/>
      <c r="I148" s="80"/>
    </row>
    <row r="149" spans="1:9" ht="15" x14ac:dyDescent="0.25">
      <c r="A149" s="81"/>
      <c r="B149" s="99"/>
      <c r="C149" s="80"/>
      <c r="D149" s="81"/>
      <c r="E149" s="81"/>
      <c r="F149" s="81"/>
      <c r="G149" s="81"/>
      <c r="H149" s="81"/>
      <c r="I149" s="80"/>
    </row>
    <row r="150" spans="1:9" ht="15" x14ac:dyDescent="0.25">
      <c r="A150" s="81"/>
      <c r="B150" s="99"/>
      <c r="C150" s="80"/>
      <c r="D150" s="81"/>
      <c r="E150" s="81"/>
      <c r="F150" s="81"/>
      <c r="G150" s="81"/>
      <c r="H150" s="81"/>
      <c r="I150" s="80"/>
    </row>
    <row r="151" spans="1:9" ht="15" x14ac:dyDescent="0.25">
      <c r="A151" s="81"/>
      <c r="B151" s="99"/>
      <c r="C151" s="80"/>
      <c r="D151" s="81"/>
      <c r="E151" s="81"/>
      <c r="F151" s="81"/>
      <c r="G151" s="81"/>
      <c r="H151" s="81"/>
      <c r="I151" s="80"/>
    </row>
    <row r="152" spans="1:9" ht="15" x14ac:dyDescent="0.25">
      <c r="A152" s="81"/>
      <c r="B152" s="99"/>
      <c r="C152" s="80"/>
      <c r="D152" s="81"/>
      <c r="E152" s="81"/>
      <c r="F152" s="81"/>
      <c r="G152" s="81"/>
      <c r="H152" s="81"/>
      <c r="I152" s="80"/>
    </row>
    <row r="153" spans="1:9" ht="15" x14ac:dyDescent="0.25">
      <c r="A153" s="81"/>
      <c r="B153" s="99"/>
      <c r="C153" s="80"/>
      <c r="D153" s="81"/>
      <c r="E153" s="81"/>
      <c r="F153" s="81"/>
      <c r="G153" s="81"/>
      <c r="H153" s="81"/>
      <c r="I153" s="80"/>
    </row>
    <row r="154" spans="1:9" ht="15" x14ac:dyDescent="0.25">
      <c r="A154" s="81"/>
      <c r="B154" s="99"/>
      <c r="C154" s="80"/>
      <c r="D154" s="81"/>
      <c r="E154" s="81"/>
      <c r="F154" s="81"/>
      <c r="G154" s="81"/>
      <c r="H154" s="81"/>
      <c r="I154" s="80"/>
    </row>
    <row r="155" spans="1:9" ht="15" x14ac:dyDescent="0.25">
      <c r="A155" s="81"/>
      <c r="B155" s="99"/>
      <c r="C155" s="80"/>
      <c r="D155" s="81"/>
      <c r="E155" s="81"/>
      <c r="F155" s="81"/>
      <c r="G155" s="81"/>
      <c r="H155" s="81"/>
      <c r="I155" s="80"/>
    </row>
    <row r="156" spans="1:9" ht="15" x14ac:dyDescent="0.25">
      <c r="A156" s="81"/>
      <c r="B156" s="99"/>
      <c r="C156" s="80"/>
      <c r="D156" s="81"/>
      <c r="E156" s="81"/>
      <c r="F156" s="81"/>
      <c r="G156" s="81"/>
      <c r="H156" s="81"/>
      <c r="I156" s="80"/>
    </row>
    <row r="157" spans="1:9" ht="15" x14ac:dyDescent="0.25">
      <c r="A157" s="81"/>
      <c r="B157" s="99"/>
      <c r="C157" s="80"/>
      <c r="D157" s="81"/>
      <c r="E157" s="81"/>
      <c r="F157" s="81"/>
      <c r="G157" s="81"/>
      <c r="H157" s="81"/>
      <c r="I157" s="80"/>
    </row>
    <row r="158" spans="1:9" ht="15" x14ac:dyDescent="0.25">
      <c r="A158" s="81"/>
      <c r="B158" s="99"/>
      <c r="C158" s="80"/>
      <c r="D158" s="81"/>
      <c r="E158" s="81"/>
      <c r="F158" s="81"/>
      <c r="G158" s="81"/>
      <c r="H158" s="81"/>
      <c r="I158" s="80"/>
    </row>
    <row r="159" spans="1:9" ht="15" x14ac:dyDescent="0.25">
      <c r="A159" s="81"/>
      <c r="B159" s="99"/>
      <c r="C159" s="80"/>
      <c r="D159" s="81"/>
      <c r="E159" s="81"/>
      <c r="F159" s="81"/>
      <c r="G159" s="81"/>
      <c r="H159" s="81"/>
      <c r="I159" s="80"/>
    </row>
    <row r="160" spans="1:9" ht="15" x14ac:dyDescent="0.25">
      <c r="A160" s="81"/>
      <c r="B160" s="99"/>
      <c r="C160" s="80"/>
      <c r="D160" s="81"/>
      <c r="E160" s="81"/>
      <c r="F160" s="81"/>
      <c r="G160" s="81"/>
      <c r="H160" s="81"/>
      <c r="I160" s="80"/>
    </row>
    <row r="161" spans="1:9" ht="15" x14ac:dyDescent="0.25">
      <c r="A161" s="81"/>
      <c r="B161" s="99"/>
      <c r="C161" s="80"/>
      <c r="D161" s="81"/>
      <c r="E161" s="81"/>
      <c r="F161" s="81"/>
      <c r="G161" s="81"/>
      <c r="H161" s="81"/>
      <c r="I161" s="80"/>
    </row>
    <row r="162" spans="1:9" ht="15" x14ac:dyDescent="0.25">
      <c r="A162" s="81"/>
      <c r="B162" s="99"/>
      <c r="C162" s="80"/>
      <c r="D162" s="81"/>
      <c r="E162" s="81"/>
      <c r="F162" s="81"/>
      <c r="G162" s="81"/>
      <c r="H162" s="81"/>
      <c r="I162" s="80"/>
    </row>
    <row r="163" spans="1:9" ht="15" x14ac:dyDescent="0.25">
      <c r="A163" s="81"/>
      <c r="B163" s="99"/>
      <c r="C163" s="80"/>
      <c r="D163" s="81"/>
      <c r="E163" s="81"/>
      <c r="F163" s="81"/>
      <c r="G163" s="81"/>
      <c r="H163" s="81"/>
      <c r="I163" s="80"/>
    </row>
    <row r="164" spans="1:9" ht="15" x14ac:dyDescent="0.25">
      <c r="A164" s="81"/>
      <c r="B164" s="99"/>
      <c r="C164" s="80"/>
      <c r="D164" s="81"/>
      <c r="E164" s="81"/>
      <c r="F164" s="81"/>
      <c r="G164" s="81"/>
      <c r="H164" s="81"/>
      <c r="I164" s="80"/>
    </row>
    <row r="165" spans="1:9" ht="15" x14ac:dyDescent="0.25">
      <c r="A165" s="81"/>
      <c r="B165" s="99"/>
      <c r="C165" s="80"/>
      <c r="D165" s="81"/>
      <c r="E165" s="81"/>
      <c r="F165" s="81"/>
      <c r="G165" s="81"/>
      <c r="H165" s="81"/>
      <c r="I165" s="80"/>
    </row>
    <row r="166" spans="1:9" ht="15" x14ac:dyDescent="0.25">
      <c r="A166" s="81"/>
      <c r="B166" s="99"/>
      <c r="C166" s="80"/>
      <c r="D166" s="81"/>
      <c r="E166" s="81"/>
      <c r="F166" s="81"/>
      <c r="G166" s="81"/>
      <c r="H166" s="81"/>
      <c r="I166" s="80"/>
    </row>
    <row r="167" spans="1:9" ht="15" x14ac:dyDescent="0.25">
      <c r="A167" s="81"/>
      <c r="B167" s="99"/>
      <c r="C167" s="80"/>
      <c r="D167" s="81"/>
      <c r="E167" s="81"/>
      <c r="F167" s="81"/>
      <c r="G167" s="81"/>
      <c r="H167" s="81"/>
      <c r="I167" s="80"/>
    </row>
    <row r="168" spans="1:9" ht="15" x14ac:dyDescent="0.25">
      <c r="A168" s="81"/>
      <c r="B168" s="99"/>
      <c r="C168" s="80"/>
      <c r="D168" s="81"/>
      <c r="E168" s="81"/>
      <c r="F168" s="81"/>
      <c r="G168" s="81"/>
      <c r="H168" s="81"/>
      <c r="I168" s="80"/>
    </row>
    <row r="169" spans="1:9" ht="15" x14ac:dyDescent="0.25">
      <c r="A169" s="81"/>
      <c r="B169" s="99"/>
      <c r="C169" s="80"/>
      <c r="D169" s="81"/>
      <c r="E169" s="81"/>
      <c r="F169" s="81"/>
      <c r="G169" s="81"/>
      <c r="H169" s="81"/>
      <c r="I169" s="80"/>
    </row>
    <row r="170" spans="1:9" ht="15" x14ac:dyDescent="0.25">
      <c r="A170" s="81"/>
      <c r="B170" s="99"/>
      <c r="C170" s="80"/>
      <c r="D170" s="81"/>
      <c r="E170" s="81"/>
      <c r="F170" s="81"/>
      <c r="G170" s="81"/>
      <c r="H170" s="81"/>
      <c r="I170" s="80"/>
    </row>
    <row r="171" spans="1:9" ht="15" x14ac:dyDescent="0.25">
      <c r="A171" s="81"/>
      <c r="B171" s="99"/>
      <c r="C171" s="80"/>
      <c r="D171" s="81"/>
      <c r="E171" s="81"/>
      <c r="F171" s="81"/>
      <c r="G171" s="81"/>
      <c r="H171" s="81"/>
      <c r="I171" s="80"/>
    </row>
    <row r="172" spans="1:9" ht="15" x14ac:dyDescent="0.25">
      <c r="A172" s="81"/>
      <c r="B172" s="99"/>
      <c r="C172" s="80"/>
      <c r="D172" s="81"/>
      <c r="E172" s="81"/>
      <c r="F172" s="81"/>
      <c r="G172" s="81"/>
      <c r="H172" s="81"/>
      <c r="I172" s="80"/>
    </row>
    <row r="173" spans="1:9" ht="15" x14ac:dyDescent="0.25">
      <c r="A173" s="81"/>
      <c r="B173" s="99"/>
      <c r="C173" s="80"/>
      <c r="D173" s="81"/>
      <c r="E173" s="81"/>
      <c r="F173" s="81"/>
      <c r="G173" s="81"/>
      <c r="H173" s="81"/>
      <c r="I173" s="80"/>
    </row>
    <row r="174" spans="1:9" ht="15" x14ac:dyDescent="0.25">
      <c r="A174" s="81"/>
      <c r="B174" s="99"/>
      <c r="C174" s="80"/>
      <c r="D174" s="81"/>
      <c r="E174" s="81"/>
      <c r="F174" s="81"/>
      <c r="G174" s="81"/>
      <c r="H174" s="81"/>
      <c r="I174" s="80"/>
    </row>
    <row r="175" spans="1:9" ht="15" x14ac:dyDescent="0.25">
      <c r="A175" s="81"/>
      <c r="B175" s="99"/>
      <c r="C175" s="80"/>
      <c r="D175" s="81"/>
      <c r="E175" s="81"/>
      <c r="F175" s="81"/>
      <c r="G175" s="81"/>
      <c r="H175" s="81"/>
      <c r="I175" s="80"/>
    </row>
    <row r="176" spans="1:9" ht="15" x14ac:dyDescent="0.25">
      <c r="A176" s="81"/>
      <c r="B176" s="99"/>
      <c r="C176" s="80"/>
      <c r="D176" s="81"/>
      <c r="E176" s="81"/>
      <c r="F176" s="81"/>
      <c r="G176" s="81"/>
      <c r="H176" s="81"/>
      <c r="I176" s="80"/>
    </row>
    <row r="177" spans="1:9" ht="15" x14ac:dyDescent="0.25">
      <c r="A177" s="81"/>
      <c r="B177" s="99"/>
      <c r="C177" s="80"/>
      <c r="D177" s="81"/>
      <c r="E177" s="81"/>
      <c r="F177" s="81"/>
      <c r="G177" s="81"/>
      <c r="H177" s="81"/>
      <c r="I177" s="80"/>
    </row>
    <row r="178" spans="1:9" ht="15" x14ac:dyDescent="0.25">
      <c r="A178" s="81"/>
      <c r="B178" s="99"/>
      <c r="C178" s="80"/>
      <c r="D178" s="81"/>
      <c r="E178" s="81"/>
      <c r="F178" s="81"/>
      <c r="G178" s="81"/>
      <c r="H178" s="81"/>
      <c r="I178" s="80"/>
    </row>
    <row r="179" spans="1:9" ht="15" x14ac:dyDescent="0.25">
      <c r="A179" s="81"/>
      <c r="B179" s="99"/>
      <c r="C179" s="80"/>
      <c r="D179" s="81"/>
      <c r="E179" s="81"/>
      <c r="F179" s="81"/>
      <c r="G179" s="81"/>
      <c r="H179" s="81"/>
      <c r="I179" s="80"/>
    </row>
    <row r="180" spans="1:9" ht="15" x14ac:dyDescent="0.25">
      <c r="A180" s="81"/>
      <c r="B180" s="99"/>
      <c r="C180" s="80"/>
      <c r="D180" s="81"/>
      <c r="E180" s="81"/>
      <c r="F180" s="81"/>
      <c r="G180" s="81"/>
      <c r="H180" s="81"/>
      <c r="I180" s="80"/>
    </row>
    <row r="181" spans="1:9" ht="15" x14ac:dyDescent="0.25">
      <c r="A181" s="81"/>
      <c r="B181" s="99"/>
      <c r="C181" s="80"/>
      <c r="D181" s="81"/>
      <c r="E181" s="81"/>
      <c r="F181" s="81"/>
      <c r="G181" s="81"/>
      <c r="H181" s="81"/>
      <c r="I181" s="80"/>
    </row>
    <row r="182" spans="1:9" ht="15" x14ac:dyDescent="0.25">
      <c r="A182" s="81"/>
      <c r="B182" s="99"/>
      <c r="C182" s="80"/>
      <c r="D182" s="81"/>
      <c r="E182" s="81"/>
      <c r="F182" s="81"/>
      <c r="G182" s="81"/>
      <c r="H182" s="81"/>
      <c r="I182" s="80"/>
    </row>
    <row r="183" spans="1:9" ht="15" x14ac:dyDescent="0.25">
      <c r="A183" s="81"/>
      <c r="B183" s="99"/>
      <c r="C183" s="80"/>
      <c r="D183" s="81"/>
      <c r="E183" s="81"/>
      <c r="F183" s="81"/>
      <c r="G183" s="81"/>
      <c r="H183" s="81"/>
      <c r="I183" s="80"/>
    </row>
    <row r="184" spans="1:9" ht="15" x14ac:dyDescent="0.25">
      <c r="A184" s="81"/>
      <c r="B184" s="99"/>
      <c r="C184" s="80"/>
      <c r="D184" s="81"/>
      <c r="E184" s="81"/>
      <c r="F184" s="81"/>
      <c r="G184" s="81"/>
      <c r="H184" s="81"/>
      <c r="I184" s="80"/>
    </row>
    <row r="185" spans="1:9" ht="15" x14ac:dyDescent="0.25">
      <c r="A185" s="81"/>
      <c r="B185" s="99"/>
      <c r="C185" s="80"/>
      <c r="D185" s="81"/>
      <c r="E185" s="81"/>
      <c r="F185" s="81"/>
      <c r="G185" s="81"/>
      <c r="H185" s="81"/>
      <c r="I185" s="80"/>
    </row>
    <row r="186" spans="1:9" ht="15" x14ac:dyDescent="0.25">
      <c r="A186" s="81"/>
      <c r="B186" s="99"/>
      <c r="C186" s="80"/>
      <c r="D186" s="81"/>
      <c r="E186" s="81"/>
      <c r="F186" s="81"/>
      <c r="G186" s="81"/>
      <c r="H186" s="81"/>
      <c r="I186" s="80"/>
    </row>
    <row r="187" spans="1:9" ht="15" x14ac:dyDescent="0.25">
      <c r="A187" s="81"/>
      <c r="B187" s="99"/>
      <c r="C187" s="80"/>
      <c r="D187" s="81"/>
      <c r="E187" s="81"/>
      <c r="F187" s="81"/>
      <c r="G187" s="81"/>
      <c r="H187" s="81"/>
      <c r="I187" s="80"/>
    </row>
    <row r="188" spans="1:9" ht="15" x14ac:dyDescent="0.25">
      <c r="A188" s="81"/>
      <c r="B188" s="99"/>
      <c r="C188" s="80"/>
      <c r="D188" s="81"/>
      <c r="E188" s="81"/>
      <c r="F188" s="81"/>
      <c r="G188" s="81"/>
      <c r="H188" s="81"/>
      <c r="I188" s="80"/>
    </row>
    <row r="189" spans="1:9" ht="15" x14ac:dyDescent="0.25">
      <c r="A189" s="81"/>
      <c r="B189" s="99"/>
      <c r="C189" s="80"/>
      <c r="D189" s="81"/>
      <c r="E189" s="81"/>
      <c r="F189" s="81"/>
      <c r="G189" s="81"/>
      <c r="H189" s="81"/>
      <c r="I189" s="80"/>
    </row>
    <row r="190" spans="1:9" ht="15" x14ac:dyDescent="0.25">
      <c r="A190" s="81"/>
      <c r="B190" s="99"/>
      <c r="C190" s="80"/>
      <c r="D190" s="81"/>
      <c r="E190" s="81"/>
      <c r="F190" s="81"/>
      <c r="G190" s="81"/>
      <c r="H190" s="81"/>
      <c r="I190" s="80"/>
    </row>
    <row r="191" spans="1:9" ht="15" x14ac:dyDescent="0.25">
      <c r="A191" s="81"/>
      <c r="B191" s="99"/>
      <c r="C191" s="80"/>
      <c r="D191" s="81"/>
      <c r="E191" s="81"/>
      <c r="F191" s="81"/>
      <c r="G191" s="81"/>
      <c r="H191" s="81"/>
      <c r="I191" s="80"/>
    </row>
    <row r="192" spans="1:9" ht="15" x14ac:dyDescent="0.25">
      <c r="A192" s="81"/>
      <c r="B192" s="99"/>
      <c r="C192" s="80"/>
      <c r="D192" s="81"/>
      <c r="E192" s="81"/>
      <c r="F192" s="81"/>
      <c r="G192" s="81"/>
      <c r="H192" s="81"/>
      <c r="I192" s="80"/>
    </row>
    <row r="193" spans="1:9" ht="15" x14ac:dyDescent="0.25">
      <c r="A193" s="81"/>
      <c r="B193" s="99"/>
      <c r="C193" s="80"/>
      <c r="D193" s="81"/>
      <c r="E193" s="81"/>
      <c r="F193" s="81"/>
      <c r="G193" s="81"/>
      <c r="H193" s="81"/>
      <c r="I193" s="80"/>
    </row>
    <row r="194" spans="1:9" ht="15" x14ac:dyDescent="0.25">
      <c r="A194" s="81"/>
      <c r="B194" s="99"/>
      <c r="C194" s="80"/>
      <c r="D194" s="81"/>
      <c r="E194" s="81"/>
      <c r="F194" s="81"/>
      <c r="G194" s="81"/>
      <c r="H194" s="81"/>
      <c r="I194" s="80"/>
    </row>
    <row r="195" spans="1:9" ht="15" x14ac:dyDescent="0.25">
      <c r="A195" s="81"/>
      <c r="B195" s="99"/>
      <c r="C195" s="80"/>
      <c r="D195" s="81"/>
      <c r="E195" s="81"/>
      <c r="F195" s="81"/>
      <c r="G195" s="81"/>
      <c r="H195" s="81"/>
      <c r="I195" s="80"/>
    </row>
    <row r="196" spans="1:9" ht="15" x14ac:dyDescent="0.25">
      <c r="A196" s="81"/>
      <c r="B196" s="99"/>
      <c r="C196" s="80"/>
      <c r="D196" s="81"/>
      <c r="E196" s="81"/>
      <c r="F196" s="81"/>
      <c r="G196" s="81"/>
      <c r="H196" s="81"/>
      <c r="I196" s="80"/>
    </row>
    <row r="197" spans="1:9" ht="15" x14ac:dyDescent="0.25">
      <c r="A197" s="81"/>
      <c r="B197" s="99"/>
      <c r="C197" s="80"/>
      <c r="D197" s="81"/>
      <c r="E197" s="81"/>
      <c r="F197" s="81"/>
      <c r="G197" s="81"/>
      <c r="H197" s="81"/>
      <c r="I197" s="80"/>
    </row>
    <row r="198" spans="1:9" ht="15" x14ac:dyDescent="0.25">
      <c r="A198" s="81"/>
      <c r="B198" s="99"/>
      <c r="C198" s="80"/>
      <c r="D198" s="81"/>
      <c r="E198" s="81"/>
      <c r="F198" s="81"/>
      <c r="G198" s="81"/>
      <c r="H198" s="81"/>
      <c r="I198" s="80"/>
    </row>
    <row r="199" spans="1:9" ht="15" x14ac:dyDescent="0.25">
      <c r="A199" s="81"/>
      <c r="B199" s="99"/>
      <c r="C199" s="80"/>
      <c r="D199" s="81"/>
      <c r="E199" s="81"/>
      <c r="F199" s="81"/>
      <c r="G199" s="81"/>
      <c r="H199" s="81"/>
      <c r="I199" s="80"/>
    </row>
    <row r="200" spans="1:9" ht="15" x14ac:dyDescent="0.25">
      <c r="A200" s="81"/>
      <c r="B200" s="99"/>
      <c r="C200" s="80"/>
      <c r="D200" s="81"/>
      <c r="E200" s="81"/>
      <c r="F200" s="81"/>
      <c r="G200" s="81"/>
      <c r="H200" s="81"/>
      <c r="I200" s="80"/>
    </row>
    <row r="201" spans="1:9" ht="15" x14ac:dyDescent="0.25">
      <c r="A201" s="81"/>
      <c r="B201" s="99"/>
      <c r="C201" s="80"/>
      <c r="D201" s="81"/>
      <c r="E201" s="81"/>
      <c r="F201" s="81"/>
      <c r="G201" s="81"/>
      <c r="H201" s="81"/>
      <c r="I201" s="80"/>
    </row>
    <row r="202" spans="1:9" ht="15" x14ac:dyDescent="0.25">
      <c r="A202" s="81"/>
      <c r="B202" s="99"/>
      <c r="C202" s="80"/>
      <c r="D202" s="81"/>
      <c r="E202" s="81"/>
      <c r="F202" s="81"/>
      <c r="G202" s="81"/>
      <c r="H202" s="81"/>
      <c r="I202" s="80"/>
    </row>
    <row r="203" spans="1:9" ht="15" x14ac:dyDescent="0.25">
      <c r="A203" s="81"/>
      <c r="B203" s="99"/>
      <c r="C203" s="80"/>
      <c r="D203" s="81"/>
      <c r="E203" s="81"/>
      <c r="F203" s="81"/>
      <c r="G203" s="81"/>
      <c r="H203" s="81"/>
      <c r="I203" s="80"/>
    </row>
    <row r="204" spans="1:9" ht="15" x14ac:dyDescent="0.25">
      <c r="A204" s="81"/>
      <c r="B204" s="99"/>
      <c r="C204" s="80"/>
      <c r="D204" s="81"/>
      <c r="E204" s="81"/>
      <c r="F204" s="81"/>
      <c r="G204" s="81"/>
      <c r="H204" s="81"/>
      <c r="I204" s="80"/>
    </row>
    <row r="205" spans="1:9" ht="15" x14ac:dyDescent="0.25">
      <c r="A205" s="81"/>
      <c r="B205" s="99"/>
      <c r="C205" s="80"/>
      <c r="D205" s="81"/>
      <c r="E205" s="81"/>
      <c r="F205" s="81"/>
      <c r="G205" s="81"/>
      <c r="H205" s="81"/>
      <c r="I205" s="80"/>
    </row>
    <row r="206" spans="1:9" ht="15" x14ac:dyDescent="0.25">
      <c r="A206" s="81"/>
      <c r="B206" s="99"/>
      <c r="C206" s="80"/>
      <c r="D206" s="81"/>
      <c r="E206" s="81"/>
      <c r="F206" s="81"/>
      <c r="G206" s="81"/>
      <c r="H206" s="81"/>
      <c r="I206" s="80"/>
    </row>
    <row r="207" spans="1:9" ht="15" x14ac:dyDescent="0.25">
      <c r="A207" s="81"/>
      <c r="B207" s="99"/>
      <c r="C207" s="80"/>
      <c r="D207" s="81"/>
      <c r="E207" s="81"/>
      <c r="F207" s="81"/>
      <c r="G207" s="81"/>
      <c r="H207" s="81"/>
      <c r="I207" s="80"/>
    </row>
    <row r="208" spans="1:9" ht="15" x14ac:dyDescent="0.25">
      <c r="A208" s="81"/>
      <c r="B208" s="99"/>
      <c r="C208" s="80"/>
      <c r="D208" s="81"/>
      <c r="E208" s="81"/>
      <c r="F208" s="81"/>
      <c r="G208" s="81"/>
      <c r="H208" s="81"/>
      <c r="I208" s="80"/>
    </row>
    <row r="209" spans="1:9" ht="15" x14ac:dyDescent="0.25">
      <c r="A209" s="81"/>
      <c r="B209" s="99"/>
      <c r="C209" s="80"/>
      <c r="D209" s="81"/>
      <c r="E209" s="81"/>
      <c r="F209" s="81"/>
      <c r="G209" s="81"/>
      <c r="H209" s="81"/>
      <c r="I209" s="80"/>
    </row>
    <row r="210" spans="1:9" ht="15" x14ac:dyDescent="0.25">
      <c r="A210" s="81"/>
      <c r="B210" s="99"/>
      <c r="C210" s="80"/>
      <c r="D210" s="81"/>
      <c r="E210" s="81"/>
      <c r="F210" s="81"/>
      <c r="G210" s="81"/>
      <c r="H210" s="81"/>
      <c r="I210" s="80"/>
    </row>
    <row r="211" spans="1:9" ht="15" x14ac:dyDescent="0.25">
      <c r="A211" s="81"/>
      <c r="B211" s="99"/>
      <c r="C211" s="80"/>
      <c r="D211" s="81"/>
      <c r="E211" s="81"/>
      <c r="F211" s="81"/>
      <c r="G211" s="81"/>
      <c r="H211" s="81"/>
      <c r="I211" s="80"/>
    </row>
    <row r="212" spans="1:9" ht="15" x14ac:dyDescent="0.25">
      <c r="A212" s="81"/>
      <c r="B212" s="99"/>
      <c r="C212" s="80"/>
      <c r="D212" s="81"/>
      <c r="E212" s="81"/>
      <c r="F212" s="81"/>
      <c r="G212" s="81"/>
      <c r="H212" s="81"/>
      <c r="I212" s="80"/>
    </row>
    <row r="213" spans="1:9" ht="15" x14ac:dyDescent="0.25">
      <c r="A213" s="81"/>
      <c r="B213" s="99"/>
      <c r="C213" s="80"/>
      <c r="D213" s="81"/>
      <c r="E213" s="81"/>
      <c r="F213" s="81"/>
      <c r="G213" s="81"/>
      <c r="H213" s="81"/>
      <c r="I213" s="80"/>
    </row>
    <row r="214" spans="1:9" ht="15" x14ac:dyDescent="0.25">
      <c r="A214" s="81"/>
      <c r="B214" s="99"/>
      <c r="C214" s="80"/>
      <c r="D214" s="81"/>
      <c r="E214" s="81"/>
      <c r="F214" s="81"/>
      <c r="G214" s="81"/>
      <c r="H214" s="81"/>
      <c r="I214" s="80"/>
    </row>
    <row r="215" spans="1:9" ht="15" x14ac:dyDescent="0.25">
      <c r="A215" s="81"/>
      <c r="B215" s="99"/>
      <c r="C215" s="80"/>
      <c r="D215" s="81"/>
      <c r="E215" s="81"/>
      <c r="F215" s="81"/>
      <c r="G215" s="81"/>
      <c r="H215" s="81"/>
      <c r="I215" s="80"/>
    </row>
    <row r="216" spans="1:9" ht="15" x14ac:dyDescent="0.25">
      <c r="A216" s="81"/>
      <c r="B216" s="99"/>
      <c r="C216" s="80"/>
      <c r="D216" s="81"/>
      <c r="E216" s="81"/>
      <c r="F216" s="81"/>
      <c r="G216" s="81"/>
      <c r="H216" s="81"/>
      <c r="I216" s="80"/>
    </row>
    <row r="217" spans="1:9" ht="15" x14ac:dyDescent="0.25">
      <c r="A217" s="81"/>
      <c r="B217" s="99"/>
      <c r="C217" s="80"/>
      <c r="D217" s="81"/>
      <c r="E217" s="81"/>
      <c r="F217" s="81"/>
      <c r="G217" s="81"/>
      <c r="H217" s="81"/>
      <c r="I217" s="80"/>
    </row>
    <row r="218" spans="1:9" ht="15" x14ac:dyDescent="0.25">
      <c r="A218" s="81"/>
      <c r="B218" s="99"/>
      <c r="C218" s="80"/>
      <c r="D218" s="81"/>
      <c r="E218" s="81"/>
      <c r="F218" s="81"/>
      <c r="G218" s="81"/>
      <c r="H218" s="81"/>
      <c r="I218" s="80"/>
    </row>
    <row r="219" spans="1:9" ht="15" x14ac:dyDescent="0.25">
      <c r="A219" s="81"/>
      <c r="B219" s="99"/>
      <c r="C219" s="80"/>
      <c r="D219" s="81"/>
      <c r="E219" s="81"/>
      <c r="F219" s="81"/>
      <c r="G219" s="81"/>
      <c r="H219" s="81"/>
      <c r="I219" s="80"/>
    </row>
    <row r="220" spans="1:9" ht="15" x14ac:dyDescent="0.25">
      <c r="A220" s="81"/>
      <c r="B220" s="99"/>
      <c r="C220" s="80"/>
      <c r="D220" s="81"/>
      <c r="E220" s="81"/>
      <c r="F220" s="81"/>
      <c r="G220" s="81"/>
      <c r="H220" s="81"/>
      <c r="I220" s="80"/>
    </row>
    <row r="221" spans="1:9" ht="15" x14ac:dyDescent="0.25">
      <c r="A221" s="81"/>
      <c r="B221" s="99"/>
      <c r="C221" s="80"/>
      <c r="D221" s="81"/>
      <c r="E221" s="81"/>
      <c r="F221" s="81"/>
      <c r="G221" s="81"/>
      <c r="H221" s="81"/>
      <c r="I221" s="80"/>
    </row>
    <row r="222" spans="1:9" ht="15" x14ac:dyDescent="0.25">
      <c r="A222" s="81"/>
      <c r="B222" s="99"/>
      <c r="C222" s="80"/>
      <c r="D222" s="81"/>
      <c r="E222" s="81"/>
      <c r="F222" s="81"/>
      <c r="G222" s="81"/>
      <c r="H222" s="81"/>
      <c r="I222" s="80"/>
    </row>
    <row r="223" spans="1:9" ht="15" x14ac:dyDescent="0.25">
      <c r="A223" s="81"/>
      <c r="B223" s="99"/>
      <c r="C223" s="80"/>
      <c r="D223" s="81"/>
      <c r="E223" s="81"/>
      <c r="F223" s="81"/>
      <c r="G223" s="81"/>
      <c r="H223" s="81"/>
      <c r="I223" s="80"/>
    </row>
    <row r="224" spans="1:9" ht="15" x14ac:dyDescent="0.25">
      <c r="A224" s="81"/>
      <c r="B224" s="99"/>
      <c r="C224" s="80"/>
      <c r="D224" s="81"/>
      <c r="E224" s="81"/>
      <c r="F224" s="81"/>
      <c r="G224" s="81"/>
      <c r="H224" s="81"/>
      <c r="I224" s="80"/>
    </row>
    <row r="225" spans="1:9" ht="15" x14ac:dyDescent="0.25">
      <c r="A225" s="81"/>
      <c r="B225" s="99"/>
      <c r="C225" s="80"/>
      <c r="D225" s="81"/>
      <c r="E225" s="81"/>
      <c r="F225" s="81"/>
      <c r="G225" s="81"/>
      <c r="H225" s="81"/>
      <c r="I225" s="80"/>
    </row>
    <row r="226" spans="1:9" ht="15" x14ac:dyDescent="0.25">
      <c r="A226" s="81"/>
      <c r="B226" s="99"/>
      <c r="C226" s="80"/>
      <c r="D226" s="81"/>
      <c r="E226" s="81"/>
      <c r="F226" s="81"/>
      <c r="G226" s="81"/>
      <c r="H226" s="81"/>
      <c r="I226" s="80"/>
    </row>
    <row r="227" spans="1:9" ht="15" x14ac:dyDescent="0.25">
      <c r="A227" s="81"/>
      <c r="B227" s="99"/>
      <c r="C227" s="80"/>
      <c r="D227" s="81"/>
      <c r="E227" s="81"/>
      <c r="F227" s="81"/>
      <c r="G227" s="81"/>
      <c r="H227" s="81"/>
      <c r="I227" s="80"/>
    </row>
    <row r="228" spans="1:9" ht="15" x14ac:dyDescent="0.25">
      <c r="A228" s="81"/>
      <c r="B228" s="99"/>
      <c r="C228" s="80"/>
      <c r="D228" s="81"/>
      <c r="E228" s="81"/>
      <c r="F228" s="81"/>
      <c r="G228" s="81"/>
      <c r="H228" s="81"/>
      <c r="I228" s="80"/>
    </row>
    <row r="229" spans="1:9" ht="15" x14ac:dyDescent="0.25">
      <c r="A229" s="81"/>
      <c r="B229" s="99"/>
      <c r="C229" s="80"/>
      <c r="D229" s="81"/>
      <c r="E229" s="81"/>
      <c r="F229" s="81"/>
      <c r="G229" s="81"/>
      <c r="H229" s="81"/>
      <c r="I229" s="80"/>
    </row>
    <row r="230" spans="1:9" ht="15" x14ac:dyDescent="0.25">
      <c r="A230" s="81"/>
      <c r="B230" s="99"/>
      <c r="C230" s="80"/>
      <c r="D230" s="81"/>
      <c r="E230" s="81"/>
      <c r="F230" s="81"/>
      <c r="G230" s="81"/>
      <c r="H230" s="81"/>
      <c r="I230" s="80"/>
    </row>
    <row r="231" spans="1:9" ht="15" x14ac:dyDescent="0.25">
      <c r="A231" s="81"/>
      <c r="B231" s="99"/>
      <c r="C231" s="80"/>
      <c r="D231" s="81"/>
      <c r="E231" s="81"/>
      <c r="F231" s="81"/>
      <c r="G231" s="81"/>
      <c r="H231" s="81"/>
      <c r="I231" s="80"/>
    </row>
    <row r="232" spans="1:9" ht="15" x14ac:dyDescent="0.25">
      <c r="A232" s="81"/>
      <c r="B232" s="99"/>
      <c r="C232" s="80"/>
      <c r="D232" s="81"/>
      <c r="E232" s="81"/>
      <c r="F232" s="81"/>
      <c r="G232" s="81"/>
      <c r="H232" s="81"/>
      <c r="I232" s="80"/>
    </row>
    <row r="233" spans="1:9" ht="15" x14ac:dyDescent="0.25">
      <c r="A233" s="81"/>
      <c r="B233" s="99"/>
      <c r="C233" s="80"/>
      <c r="D233" s="81"/>
      <c r="E233" s="81"/>
      <c r="F233" s="81"/>
      <c r="G233" s="81"/>
      <c r="H233" s="81"/>
      <c r="I233" s="80"/>
    </row>
    <row r="234" spans="1:9" ht="15" x14ac:dyDescent="0.25">
      <c r="A234" s="81"/>
      <c r="B234" s="99"/>
      <c r="C234" s="80"/>
      <c r="D234" s="81"/>
      <c r="E234" s="81"/>
      <c r="F234" s="81"/>
      <c r="G234" s="81"/>
      <c r="H234" s="81"/>
      <c r="I234" s="80"/>
    </row>
    <row r="235" spans="1:9" ht="15" x14ac:dyDescent="0.25">
      <c r="A235" s="81"/>
      <c r="B235" s="99"/>
      <c r="C235" s="80"/>
      <c r="D235" s="81"/>
      <c r="E235" s="81"/>
      <c r="F235" s="81"/>
      <c r="G235" s="81"/>
      <c r="H235" s="81"/>
      <c r="I235" s="80"/>
    </row>
    <row r="236" spans="1:9" ht="15" x14ac:dyDescent="0.25">
      <c r="A236" s="81"/>
      <c r="B236" s="99"/>
      <c r="C236" s="80"/>
      <c r="D236" s="81"/>
      <c r="E236" s="81"/>
      <c r="F236" s="81"/>
      <c r="G236" s="81"/>
      <c r="H236" s="81"/>
      <c r="I236" s="80"/>
    </row>
    <row r="237" spans="1:9" ht="15" x14ac:dyDescent="0.25">
      <c r="A237" s="81"/>
      <c r="B237" s="99"/>
      <c r="C237" s="80"/>
      <c r="D237" s="81"/>
      <c r="E237" s="81"/>
      <c r="F237" s="81"/>
      <c r="G237" s="81"/>
      <c r="H237" s="81"/>
      <c r="I237" s="80"/>
    </row>
    <row r="238" spans="1:9" ht="15" x14ac:dyDescent="0.25">
      <c r="A238" s="81"/>
      <c r="B238" s="99"/>
      <c r="C238" s="80"/>
      <c r="D238" s="81"/>
      <c r="E238" s="81"/>
      <c r="F238" s="81"/>
      <c r="G238" s="81"/>
      <c r="H238" s="81"/>
      <c r="I238" s="80"/>
    </row>
    <row r="239" spans="1:9" ht="15" x14ac:dyDescent="0.25">
      <c r="A239" s="81"/>
      <c r="B239" s="99"/>
      <c r="C239" s="80"/>
      <c r="D239" s="81"/>
      <c r="E239" s="81"/>
      <c r="F239" s="81"/>
      <c r="G239" s="81"/>
      <c r="H239" s="81"/>
      <c r="I239" s="80"/>
    </row>
    <row r="240" spans="1:9" ht="15" x14ac:dyDescent="0.25">
      <c r="A240" s="81"/>
      <c r="B240" s="99"/>
      <c r="C240" s="80"/>
      <c r="D240" s="81"/>
      <c r="E240" s="81"/>
      <c r="F240" s="81"/>
      <c r="G240" s="81"/>
      <c r="H240" s="81"/>
      <c r="I240" s="80"/>
    </row>
    <row r="241" spans="1:9" ht="15" x14ac:dyDescent="0.25">
      <c r="A241" s="81"/>
      <c r="B241" s="99"/>
      <c r="C241" s="80"/>
      <c r="D241" s="81"/>
      <c r="E241" s="81"/>
      <c r="F241" s="81"/>
      <c r="G241" s="81"/>
      <c r="H241" s="81"/>
      <c r="I241" s="80"/>
    </row>
    <row r="242" spans="1:9" ht="15" x14ac:dyDescent="0.25">
      <c r="A242" s="81"/>
      <c r="B242" s="99"/>
      <c r="C242" s="80"/>
      <c r="D242" s="81"/>
      <c r="E242" s="81"/>
      <c r="F242" s="81"/>
      <c r="G242" s="81"/>
      <c r="H242" s="81"/>
      <c r="I242" s="80"/>
    </row>
    <row r="243" spans="1:9" ht="15" x14ac:dyDescent="0.25">
      <c r="A243" s="81"/>
      <c r="B243" s="99"/>
      <c r="C243" s="80"/>
      <c r="D243" s="81"/>
      <c r="E243" s="81"/>
      <c r="F243" s="81"/>
      <c r="G243" s="81"/>
      <c r="H243" s="81"/>
      <c r="I243" s="80"/>
    </row>
    <row r="244" spans="1:9" ht="15" x14ac:dyDescent="0.25">
      <c r="A244" s="81"/>
      <c r="B244" s="99"/>
      <c r="C244" s="80"/>
      <c r="D244" s="81"/>
      <c r="E244" s="81"/>
      <c r="F244" s="81"/>
      <c r="G244" s="81"/>
      <c r="H244" s="81"/>
      <c r="I244" s="80"/>
    </row>
    <row r="245" spans="1:9" ht="15" x14ac:dyDescent="0.25">
      <c r="A245" s="81"/>
      <c r="B245" s="99"/>
      <c r="C245" s="80"/>
      <c r="D245" s="81"/>
      <c r="E245" s="81"/>
      <c r="F245" s="81"/>
      <c r="G245" s="81"/>
      <c r="H245" s="81"/>
      <c r="I245" s="80"/>
    </row>
    <row r="246" spans="1:9" ht="15" x14ac:dyDescent="0.25">
      <c r="A246" s="81"/>
      <c r="B246" s="99"/>
      <c r="C246" s="80"/>
      <c r="D246" s="81"/>
      <c r="E246" s="81"/>
      <c r="F246" s="81"/>
      <c r="G246" s="81"/>
      <c r="H246" s="81"/>
      <c r="I246" s="80"/>
    </row>
    <row r="247" spans="1:9" ht="15" x14ac:dyDescent="0.25">
      <c r="A247" s="81"/>
      <c r="B247" s="99"/>
      <c r="C247" s="80"/>
      <c r="D247" s="81"/>
      <c r="E247" s="81"/>
      <c r="F247" s="81"/>
      <c r="G247" s="81"/>
      <c r="H247" s="81"/>
      <c r="I247" s="80"/>
    </row>
    <row r="248" spans="1:9" ht="15" x14ac:dyDescent="0.25">
      <c r="A248" s="81"/>
      <c r="B248" s="99"/>
      <c r="C248" s="80"/>
      <c r="D248" s="81"/>
      <c r="E248" s="81"/>
      <c r="F248" s="81"/>
      <c r="G248" s="81"/>
      <c r="H248" s="81"/>
      <c r="I248" s="80"/>
    </row>
    <row r="249" spans="1:9" ht="15" x14ac:dyDescent="0.25">
      <c r="A249" s="81"/>
      <c r="B249" s="99"/>
      <c r="C249" s="80"/>
      <c r="D249" s="81"/>
      <c r="E249" s="81"/>
      <c r="F249" s="81"/>
      <c r="G249" s="81"/>
      <c r="H249" s="81"/>
      <c r="I249" s="80"/>
    </row>
    <row r="250" spans="1:9" ht="15" x14ac:dyDescent="0.25">
      <c r="A250" s="81"/>
      <c r="B250" s="99"/>
      <c r="C250" s="80"/>
      <c r="D250" s="81"/>
      <c r="E250" s="81"/>
      <c r="F250" s="81"/>
      <c r="G250" s="81"/>
      <c r="H250" s="81"/>
      <c r="I250" s="80"/>
    </row>
    <row r="251" spans="1:9" ht="15" x14ac:dyDescent="0.25">
      <c r="A251" s="81"/>
      <c r="B251" s="99"/>
      <c r="C251" s="80"/>
      <c r="D251" s="81"/>
      <c r="E251" s="81"/>
      <c r="F251" s="81"/>
      <c r="G251" s="81"/>
      <c r="H251" s="81"/>
      <c r="I251" s="80"/>
    </row>
    <row r="252" spans="1:9" ht="15" x14ac:dyDescent="0.25">
      <c r="A252" s="81"/>
      <c r="B252" s="99"/>
      <c r="C252" s="80"/>
      <c r="D252" s="81"/>
      <c r="E252" s="81"/>
      <c r="F252" s="81"/>
      <c r="G252" s="81"/>
      <c r="H252" s="81"/>
      <c r="I252" s="80"/>
    </row>
    <row r="253" spans="1:9" ht="15" x14ac:dyDescent="0.25">
      <c r="A253" s="81"/>
      <c r="B253" s="99"/>
      <c r="C253" s="80"/>
      <c r="D253" s="81"/>
      <c r="E253" s="81"/>
      <c r="F253" s="81"/>
      <c r="G253" s="81"/>
      <c r="H253" s="81"/>
      <c r="I253" s="80"/>
    </row>
    <row r="254" spans="1:9" ht="15" x14ac:dyDescent="0.25">
      <c r="A254" s="81"/>
      <c r="B254" s="99"/>
      <c r="C254" s="80"/>
      <c r="D254" s="81"/>
      <c r="E254" s="81"/>
      <c r="F254" s="81"/>
      <c r="G254" s="81"/>
      <c r="H254" s="81"/>
      <c r="I254" s="80"/>
    </row>
    <row r="255" spans="1:9" ht="15" x14ac:dyDescent="0.25">
      <c r="A255" s="81"/>
      <c r="B255" s="99"/>
      <c r="C255" s="80"/>
      <c r="D255" s="81"/>
      <c r="E255" s="81"/>
      <c r="F255" s="81"/>
      <c r="G255" s="81"/>
      <c r="H255" s="81"/>
      <c r="I255" s="80"/>
    </row>
    <row r="256" spans="1:9" ht="15" x14ac:dyDescent="0.25">
      <c r="A256" s="81"/>
      <c r="B256" s="99"/>
      <c r="C256" s="80"/>
      <c r="D256" s="81"/>
      <c r="E256" s="81"/>
      <c r="F256" s="81"/>
      <c r="G256" s="81"/>
      <c r="H256" s="81"/>
      <c r="I256" s="80"/>
    </row>
    <row r="257" spans="1:9" ht="15" x14ac:dyDescent="0.25">
      <c r="A257" s="81"/>
      <c r="B257" s="99"/>
      <c r="C257" s="80"/>
      <c r="D257" s="81"/>
      <c r="E257" s="81"/>
      <c r="F257" s="81"/>
      <c r="G257" s="81"/>
      <c r="H257" s="81"/>
      <c r="I257" s="80"/>
    </row>
    <row r="258" spans="1:9" ht="15" x14ac:dyDescent="0.25">
      <c r="A258" s="81"/>
      <c r="B258" s="99"/>
      <c r="C258" s="80"/>
      <c r="D258" s="81"/>
      <c r="E258" s="81"/>
      <c r="F258" s="81"/>
      <c r="G258" s="81"/>
      <c r="H258" s="81"/>
      <c r="I258" s="80"/>
    </row>
    <row r="259" spans="1:9" ht="15" x14ac:dyDescent="0.25">
      <c r="A259" s="81"/>
      <c r="B259" s="99"/>
      <c r="C259" s="80"/>
      <c r="D259" s="81"/>
      <c r="E259" s="81"/>
      <c r="F259" s="81"/>
      <c r="G259" s="81"/>
      <c r="H259" s="81"/>
      <c r="I259" s="80"/>
    </row>
    <row r="260" spans="1:9" ht="15" x14ac:dyDescent="0.25">
      <c r="A260" s="81"/>
      <c r="B260" s="99"/>
      <c r="C260" s="80"/>
      <c r="D260" s="81"/>
      <c r="E260" s="81"/>
      <c r="F260" s="81"/>
      <c r="G260" s="81"/>
      <c r="H260" s="81"/>
      <c r="I260" s="80"/>
    </row>
    <row r="261" spans="1:9" ht="15" x14ac:dyDescent="0.25">
      <c r="A261" s="81"/>
      <c r="B261" s="99"/>
      <c r="C261" s="80"/>
      <c r="D261" s="81"/>
      <c r="E261" s="81"/>
      <c r="F261" s="81"/>
      <c r="G261" s="81"/>
      <c r="H261" s="81"/>
      <c r="I261" s="80"/>
    </row>
    <row r="262" spans="1:9" ht="15" x14ac:dyDescent="0.25">
      <c r="A262" s="81"/>
      <c r="B262" s="99"/>
      <c r="C262" s="80"/>
      <c r="D262" s="81"/>
      <c r="E262" s="81"/>
      <c r="F262" s="81"/>
      <c r="G262" s="81"/>
      <c r="H262" s="81"/>
      <c r="I262" s="80"/>
    </row>
    <row r="263" spans="1:9" ht="15" x14ac:dyDescent="0.25">
      <c r="A263" s="81"/>
      <c r="B263" s="99"/>
      <c r="C263" s="80"/>
      <c r="D263" s="81"/>
      <c r="E263" s="81"/>
      <c r="F263" s="81"/>
      <c r="G263" s="81"/>
      <c r="H263" s="81"/>
      <c r="I263" s="80"/>
    </row>
    <row r="264" spans="1:9" ht="15" x14ac:dyDescent="0.25">
      <c r="A264" s="81"/>
      <c r="B264" s="99"/>
      <c r="C264" s="80"/>
      <c r="D264" s="81"/>
      <c r="E264" s="81"/>
      <c r="F264" s="81"/>
      <c r="G264" s="81"/>
      <c r="H264" s="81"/>
      <c r="I264" s="80"/>
    </row>
    <row r="265" spans="1:9" ht="15" x14ac:dyDescent="0.25">
      <c r="A265" s="81"/>
      <c r="B265" s="99"/>
      <c r="C265" s="80"/>
      <c r="D265" s="81"/>
      <c r="E265" s="81"/>
      <c r="F265" s="81"/>
      <c r="G265" s="81"/>
      <c r="H265" s="81"/>
      <c r="I265" s="80"/>
    </row>
    <row r="266" spans="1:9" ht="15" x14ac:dyDescent="0.25">
      <c r="A266" s="81"/>
      <c r="B266" s="99"/>
      <c r="C266" s="80"/>
      <c r="D266" s="81"/>
      <c r="E266" s="81"/>
      <c r="F266" s="81"/>
      <c r="G266" s="81"/>
      <c r="H266" s="81"/>
      <c r="I266" s="80"/>
    </row>
    <row r="267" spans="1:9" ht="15" x14ac:dyDescent="0.25">
      <c r="A267" s="81"/>
      <c r="B267" s="99"/>
      <c r="C267" s="80"/>
      <c r="D267" s="81"/>
      <c r="E267" s="81"/>
      <c r="F267" s="81"/>
      <c r="G267" s="81"/>
      <c r="H267" s="81"/>
      <c r="I267" s="80"/>
    </row>
    <row r="268" spans="1:9" ht="15" x14ac:dyDescent="0.25">
      <c r="A268" s="81"/>
      <c r="B268" s="99"/>
      <c r="C268" s="80"/>
      <c r="D268" s="81"/>
      <c r="E268" s="81"/>
      <c r="F268" s="81"/>
      <c r="G268" s="81"/>
      <c r="H268" s="81"/>
      <c r="I268" s="80"/>
    </row>
    <row r="269" spans="1:9" ht="15" x14ac:dyDescent="0.25">
      <c r="A269" s="81"/>
      <c r="B269" s="99"/>
      <c r="C269" s="80"/>
      <c r="D269" s="81"/>
      <c r="E269" s="81"/>
      <c r="F269" s="81"/>
      <c r="G269" s="81"/>
      <c r="H269" s="81"/>
      <c r="I269" s="80"/>
    </row>
    <row r="270" spans="1:9" ht="15" x14ac:dyDescent="0.25">
      <c r="A270" s="81"/>
      <c r="B270" s="99"/>
      <c r="C270" s="80"/>
      <c r="D270" s="81"/>
      <c r="E270" s="81"/>
      <c r="F270" s="81"/>
      <c r="G270" s="81"/>
      <c r="H270" s="81"/>
      <c r="I270" s="80"/>
    </row>
    <row r="271" spans="1:9" ht="15" x14ac:dyDescent="0.25">
      <c r="A271" s="81"/>
      <c r="B271" s="99"/>
      <c r="C271" s="80"/>
      <c r="D271" s="81"/>
      <c r="E271" s="81"/>
      <c r="F271" s="81"/>
      <c r="G271" s="81"/>
      <c r="H271" s="81"/>
      <c r="I271" s="80"/>
    </row>
    <row r="272" spans="1:9" ht="15" x14ac:dyDescent="0.25">
      <c r="A272" s="81"/>
      <c r="B272" s="99"/>
      <c r="C272" s="80"/>
      <c r="D272" s="81"/>
      <c r="E272" s="81"/>
      <c r="F272" s="81"/>
      <c r="G272" s="81"/>
      <c r="H272" s="81"/>
      <c r="I272" s="80"/>
    </row>
    <row r="273" spans="1:9" ht="15" x14ac:dyDescent="0.25">
      <c r="A273" s="81"/>
      <c r="B273" s="99"/>
      <c r="C273" s="80"/>
      <c r="D273" s="81"/>
      <c r="E273" s="81"/>
      <c r="F273" s="81"/>
      <c r="G273" s="81"/>
      <c r="H273" s="81"/>
      <c r="I273" s="80"/>
    </row>
    <row r="274" spans="1:9" ht="15" x14ac:dyDescent="0.25">
      <c r="A274" s="81"/>
      <c r="B274" s="99"/>
      <c r="C274" s="80"/>
      <c r="D274" s="81"/>
      <c r="E274" s="81"/>
      <c r="F274" s="81"/>
      <c r="G274" s="81"/>
      <c r="H274" s="81"/>
      <c r="I274" s="80"/>
    </row>
  </sheetData>
  <mergeCells count="2">
    <mergeCell ref="A2:I2"/>
    <mergeCell ref="AO13:AR13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D586C-0AFF-46A9-9C30-76E90B2BBD63}">
  <sheetPr codeName="Sheet3">
    <tabColor rgb="FF33CC33"/>
  </sheetPr>
  <dimension ref="A1:BA274"/>
  <sheetViews>
    <sheetView showGridLines="0" topLeftCell="A4" zoomScale="83" workbookViewId="0">
      <selection activeCell="I11" sqref="I11:I18"/>
    </sheetView>
  </sheetViews>
  <sheetFormatPr baseColWidth="10" defaultColWidth="9.140625" defaultRowHeight="12.75" x14ac:dyDescent="0.2"/>
  <cols>
    <col min="1" max="1" width="11.140625" style="100" customWidth="1"/>
    <col min="2" max="2" width="14.140625" style="100" customWidth="1"/>
    <col min="3" max="3" width="12.7109375" style="100" customWidth="1"/>
    <col min="4" max="4" width="23" style="100" bestFit="1" customWidth="1"/>
    <col min="5" max="5" width="23.42578125" style="100" customWidth="1"/>
    <col min="6" max="6" width="20" style="100" bestFit="1" customWidth="1"/>
    <col min="7" max="7" width="26.7109375" style="100" bestFit="1" customWidth="1"/>
    <col min="8" max="8" width="16.7109375" style="100" customWidth="1"/>
    <col min="9" max="9" width="12.140625" style="100" customWidth="1"/>
    <col min="10" max="45" width="9.140625" style="89"/>
    <col min="46" max="46" width="27.7109375" style="89" bestFit="1" customWidth="1"/>
    <col min="47" max="50" width="9.140625" style="89"/>
    <col min="51" max="51" width="26.5703125" style="89" bestFit="1" customWidth="1"/>
    <col min="52" max="16384" width="9.140625" style="89"/>
  </cols>
  <sheetData>
    <row r="1" spans="1:53" ht="16.5" x14ac:dyDescent="0.25">
      <c r="A1" s="93"/>
      <c r="B1" s="93"/>
      <c r="C1" s="93"/>
      <c r="D1" s="93"/>
      <c r="E1" s="91"/>
      <c r="F1" s="91"/>
      <c r="G1" s="91"/>
      <c r="H1" s="91"/>
      <c r="I1" s="91"/>
    </row>
    <row r="2" spans="1:53" ht="16.5" x14ac:dyDescent="0.25">
      <c r="A2" s="143" t="s">
        <v>300</v>
      </c>
      <c r="B2" s="143"/>
      <c r="C2" s="143"/>
      <c r="D2" s="143"/>
      <c r="E2" s="143"/>
      <c r="F2" s="143"/>
      <c r="G2" s="143"/>
      <c r="H2" s="143"/>
      <c r="I2" s="143"/>
    </row>
    <row r="3" spans="1:53" ht="16.5" x14ac:dyDescent="0.25">
      <c r="A3" s="93"/>
      <c r="B3" s="93"/>
      <c r="C3" s="93"/>
      <c r="D3" s="102" t="s">
        <v>0</v>
      </c>
      <c r="E3" s="91"/>
      <c r="F3" s="91"/>
      <c r="G3" s="91"/>
      <c r="H3" s="91"/>
      <c r="I3" s="91"/>
    </row>
    <row r="4" spans="1:53" ht="16.5" x14ac:dyDescent="0.25">
      <c r="A4" s="93"/>
      <c r="B4" s="93"/>
      <c r="C4" s="93"/>
      <c r="D4" s="101">
        <v>202113</v>
      </c>
      <c r="E4" s="91"/>
      <c r="F4" s="91"/>
      <c r="G4" s="91"/>
      <c r="H4" s="91"/>
      <c r="I4" s="94"/>
    </row>
    <row r="5" spans="1:53" ht="16.5" x14ac:dyDescent="0.25">
      <c r="A5" s="93"/>
      <c r="B5" s="91"/>
      <c r="C5" s="91"/>
      <c r="D5" s="91"/>
      <c r="E5" s="91"/>
      <c r="F5" s="91"/>
      <c r="G5" s="91"/>
      <c r="H5" s="91"/>
      <c r="I5" s="91"/>
    </row>
    <row r="6" spans="1:53" ht="16.5" x14ac:dyDescent="0.25">
      <c r="A6" s="95" t="s">
        <v>0</v>
      </c>
      <c r="B6" s="98">
        <f>+D4</f>
        <v>202113</v>
      </c>
      <c r="C6" s="93"/>
      <c r="D6" s="93"/>
      <c r="E6" s="92" t="s">
        <v>302</v>
      </c>
      <c r="F6" s="97"/>
      <c r="G6" s="91"/>
      <c r="H6" s="91"/>
      <c r="I6" s="91"/>
    </row>
    <row r="7" spans="1:53" ht="16.5" x14ac:dyDescent="0.25">
      <c r="A7" s="90" t="s">
        <v>1</v>
      </c>
      <c r="B7" s="90" t="str">
        <f>VLOOKUP(B6,Tabla1[#All],2,FALSE)</f>
        <v>LEONEL ISMAEL CORDOBA NARVAEZ</v>
      </c>
      <c r="C7" s="93"/>
      <c r="D7" s="93"/>
      <c r="E7" s="92" t="s">
        <v>301</v>
      </c>
      <c r="F7" s="96"/>
      <c r="G7" s="91"/>
      <c r="H7" s="91"/>
      <c r="I7" s="91"/>
    </row>
    <row r="8" spans="1:53" ht="16.5" x14ac:dyDescent="0.25">
      <c r="A8" s="95" t="s">
        <v>299</v>
      </c>
      <c r="B8" s="127" t="str">
        <f>VLOOKUP(B6,Tabla1[#All],3,FALSE)</f>
        <v>Operador de Maquinaria Pesada III</v>
      </c>
      <c r="C8" s="93"/>
      <c r="D8" s="93"/>
      <c r="E8" s="92" t="s">
        <v>312</v>
      </c>
      <c r="F8" s="90" t="str">
        <f>VLOOKUP(B6,[1]!Tabla2[#All],4,FALSE)</f>
        <v>NI0101A024</v>
      </c>
      <c r="G8" s="91"/>
      <c r="H8" s="91"/>
      <c r="I8" s="91"/>
    </row>
    <row r="9" spans="1:53" ht="16.5" x14ac:dyDescent="0.25">
      <c r="A9" s="92"/>
      <c r="B9" s="94"/>
      <c r="C9" s="94"/>
      <c r="D9" s="94"/>
      <c r="E9" s="94"/>
      <c r="F9" s="94"/>
      <c r="G9" s="94"/>
      <c r="H9" s="94"/>
      <c r="I9" s="91"/>
    </row>
    <row r="10" spans="1:53" ht="55.5" customHeight="1" x14ac:dyDescent="0.2">
      <c r="A10" s="146" t="s">
        <v>4</v>
      </c>
      <c r="B10" s="146" t="s">
        <v>5</v>
      </c>
      <c r="C10" s="146" t="s">
        <v>6</v>
      </c>
      <c r="D10" s="146" t="s">
        <v>298</v>
      </c>
      <c r="E10" s="147" t="s">
        <v>19</v>
      </c>
      <c r="F10" s="147" t="s">
        <v>21</v>
      </c>
      <c r="G10" s="147" t="s">
        <v>20</v>
      </c>
      <c r="H10" s="148" t="s">
        <v>3</v>
      </c>
      <c r="I10" s="146" t="s">
        <v>7</v>
      </c>
    </row>
    <row r="11" spans="1:53" ht="15" x14ac:dyDescent="0.25">
      <c r="A11" s="144">
        <v>73</v>
      </c>
      <c r="B11" s="144">
        <v>43859</v>
      </c>
      <c r="C11" s="144" t="s">
        <v>25</v>
      </c>
      <c r="D11" s="144" t="s">
        <v>322</v>
      </c>
      <c r="E11" s="144"/>
      <c r="F11" s="144">
        <v>35</v>
      </c>
      <c r="G11" s="144"/>
      <c r="H11" s="144"/>
      <c r="I11" s="144">
        <v>35</v>
      </c>
    </row>
    <row r="12" spans="1:53" ht="15" x14ac:dyDescent="0.25">
      <c r="A12" s="144">
        <v>91</v>
      </c>
      <c r="B12" s="144">
        <v>43860</v>
      </c>
      <c r="C12" s="144" t="s">
        <v>26</v>
      </c>
      <c r="D12" s="144" t="s">
        <v>290</v>
      </c>
      <c r="E12" s="144"/>
      <c r="F12" s="144">
        <v>35</v>
      </c>
      <c r="G12" s="144"/>
      <c r="H12" s="144"/>
      <c r="I12" s="144">
        <v>35</v>
      </c>
    </row>
    <row r="13" spans="1:53" ht="15.75" x14ac:dyDescent="0.25">
      <c r="A13" s="144">
        <v>115</v>
      </c>
      <c r="B13" s="144">
        <v>43861</v>
      </c>
      <c r="C13" s="144" t="s">
        <v>27</v>
      </c>
      <c r="D13" s="144" t="s">
        <v>320</v>
      </c>
      <c r="E13" s="144"/>
      <c r="F13" s="144">
        <v>35</v>
      </c>
      <c r="G13" s="144"/>
      <c r="H13" s="144"/>
      <c r="I13" s="144">
        <v>35</v>
      </c>
      <c r="AO13" s="164" t="s">
        <v>8</v>
      </c>
      <c r="AP13" s="164"/>
      <c r="AQ13" s="164"/>
      <c r="AR13" s="164"/>
      <c r="AS13" s="165">
        <f>+SUM(E11:E20)</f>
        <v>0</v>
      </c>
      <c r="AT13" s="165">
        <f>+SUM(F11:F20)</f>
        <v>560</v>
      </c>
      <c r="AU13" s="165">
        <f>+SUM(G11:G20)</f>
        <v>0</v>
      </c>
      <c r="AV13" s="165">
        <f>+SUM(H11:H23)</f>
        <v>0</v>
      </c>
      <c r="AW13" s="165">
        <f>+SUM(I11:I23)</f>
        <v>560</v>
      </c>
    </row>
    <row r="14" spans="1:53" ht="15" x14ac:dyDescent="0.25">
      <c r="A14" s="144">
        <v>132</v>
      </c>
      <c r="B14" s="144">
        <v>43862</v>
      </c>
      <c r="C14" s="144" t="s">
        <v>28</v>
      </c>
      <c r="D14" s="144" t="s">
        <v>290</v>
      </c>
      <c r="E14" s="144"/>
      <c r="F14" s="144">
        <v>35</v>
      </c>
      <c r="G14" s="144"/>
      <c r="H14" s="144"/>
      <c r="I14" s="144">
        <v>35</v>
      </c>
      <c r="AS14" s="89">
        <f>+SUM(E11:E19)</f>
        <v>0</v>
      </c>
    </row>
    <row r="15" spans="1:53" ht="15" x14ac:dyDescent="0.25">
      <c r="A15" s="144">
        <v>187</v>
      </c>
      <c r="B15" s="144">
        <v>43865</v>
      </c>
      <c r="C15" s="144" t="s">
        <v>24</v>
      </c>
      <c r="D15" s="144" t="s">
        <v>324</v>
      </c>
      <c r="E15" s="144"/>
      <c r="F15" s="144">
        <v>35</v>
      </c>
      <c r="G15" s="144"/>
      <c r="H15" s="144"/>
      <c r="I15" s="144">
        <v>35</v>
      </c>
    </row>
    <row r="16" spans="1:53" ht="18.75" x14ac:dyDescent="0.3">
      <c r="A16" s="144">
        <v>207</v>
      </c>
      <c r="B16" s="144">
        <v>43866</v>
      </c>
      <c r="C16" s="144" t="s">
        <v>25</v>
      </c>
      <c r="D16" s="144" t="s">
        <v>326</v>
      </c>
      <c r="E16" s="144"/>
      <c r="F16" s="144">
        <v>35</v>
      </c>
      <c r="G16" s="144"/>
      <c r="H16" s="144"/>
      <c r="I16" s="144">
        <v>35</v>
      </c>
      <c r="AO16" s="116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2"/>
      <c r="BA16" s="2"/>
    </row>
    <row r="17" spans="1:53" ht="18.75" x14ac:dyDescent="0.3">
      <c r="A17" s="144">
        <v>224</v>
      </c>
      <c r="B17" s="144">
        <v>43867</v>
      </c>
      <c r="C17" s="144" t="s">
        <v>26</v>
      </c>
      <c r="D17" s="144" t="s">
        <v>326</v>
      </c>
      <c r="E17" s="144"/>
      <c r="F17" s="144">
        <v>35</v>
      </c>
      <c r="G17" s="144"/>
      <c r="H17" s="144"/>
      <c r="I17" s="144">
        <v>35</v>
      </c>
      <c r="AO17" s="116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2"/>
      <c r="BA17" s="2"/>
    </row>
    <row r="18" spans="1:53" ht="18.75" x14ac:dyDescent="0.3">
      <c r="A18" s="144">
        <v>242</v>
      </c>
      <c r="B18" s="144">
        <v>43868</v>
      </c>
      <c r="C18" s="144" t="s">
        <v>27</v>
      </c>
      <c r="D18" s="144" t="s">
        <v>289</v>
      </c>
      <c r="E18" s="144"/>
      <c r="F18" s="144">
        <v>35</v>
      </c>
      <c r="G18" s="144"/>
      <c r="H18" s="144"/>
      <c r="I18" s="144">
        <v>35</v>
      </c>
      <c r="AO18" s="116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2"/>
      <c r="BA18" s="2"/>
    </row>
    <row r="19" spans="1:53" ht="18.75" x14ac:dyDescent="0.3">
      <c r="A19" s="171">
        <v>1</v>
      </c>
      <c r="B19" s="145"/>
      <c r="C19" s="145" t="s">
        <v>28</v>
      </c>
      <c r="D19" s="145"/>
      <c r="E19" s="145"/>
      <c r="F19" s="145"/>
      <c r="G19" s="145"/>
      <c r="H19" s="145"/>
      <c r="I19" s="145"/>
      <c r="AO19" s="116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2"/>
      <c r="BA19" s="2"/>
    </row>
    <row r="20" spans="1:53" ht="18.75" x14ac:dyDescent="0.3">
      <c r="A20" s="166" t="s">
        <v>8</v>
      </c>
      <c r="B20" s="166"/>
      <c r="C20" s="166"/>
      <c r="D20" s="166"/>
      <c r="E20" s="166">
        <v>0</v>
      </c>
      <c r="F20" s="166">
        <v>280</v>
      </c>
      <c r="G20" s="166">
        <v>0</v>
      </c>
      <c r="H20" s="166">
        <v>0</v>
      </c>
      <c r="I20" s="166">
        <v>280</v>
      </c>
      <c r="AO20" s="116"/>
      <c r="AP20" s="116"/>
      <c r="AQ20" s="116"/>
      <c r="AR20" s="118"/>
      <c r="AS20" s="118"/>
      <c r="AT20" s="117"/>
      <c r="AU20" s="117"/>
      <c r="AV20" s="117"/>
      <c r="AW20" s="117"/>
      <c r="AX20" s="117"/>
      <c r="AY20" s="117"/>
      <c r="AZ20" s="2"/>
      <c r="BA20" s="2"/>
    </row>
    <row r="21" spans="1:53" ht="18.75" x14ac:dyDescent="0.3">
      <c r="A21" s="167"/>
      <c r="B21" s="167"/>
      <c r="C21" s="167"/>
      <c r="D21" s="167"/>
      <c r="E21" s="167"/>
      <c r="F21" s="167"/>
      <c r="G21" s="167"/>
      <c r="H21" s="167"/>
      <c r="I21" s="167"/>
      <c r="AO21" s="116"/>
      <c r="AP21" s="116"/>
      <c r="AQ21" s="116"/>
      <c r="AR21" s="118"/>
      <c r="AS21" s="118"/>
      <c r="AT21" s="117"/>
      <c r="AU21" s="117"/>
      <c r="AV21" s="117"/>
      <c r="AW21" s="117"/>
      <c r="AX21" s="117"/>
      <c r="AY21" s="117"/>
      <c r="AZ21" s="2"/>
      <c r="BA21" s="2"/>
    </row>
    <row r="22" spans="1:53" ht="18.75" x14ac:dyDescent="0.3">
      <c r="A22" s="149"/>
      <c r="B22" s="149"/>
      <c r="C22" s="149"/>
      <c r="D22" s="149"/>
      <c r="E22" s="149"/>
      <c r="F22" s="149"/>
      <c r="G22" s="149"/>
      <c r="H22" s="149"/>
      <c r="I22" s="149"/>
      <c r="J22" s="117"/>
      <c r="K22" s="117"/>
      <c r="AO22" s="116"/>
      <c r="AP22" s="116"/>
      <c r="AQ22" s="116"/>
      <c r="AR22" s="118"/>
      <c r="AS22" s="118"/>
      <c r="AT22" s="117"/>
      <c r="AU22" s="117"/>
      <c r="AV22" s="117"/>
      <c r="AW22" s="117"/>
      <c r="AX22" s="117"/>
      <c r="AY22" s="117"/>
      <c r="AZ22" s="2"/>
      <c r="BA22" s="2"/>
    </row>
    <row r="23" spans="1:53" ht="18.75" x14ac:dyDescent="0.3">
      <c r="A23" s="167"/>
      <c r="B23" s="167"/>
      <c r="C23" s="167"/>
      <c r="D23" s="167"/>
      <c r="E23" s="167"/>
      <c r="F23" s="167"/>
      <c r="G23" s="167"/>
      <c r="H23" s="167"/>
      <c r="I23" s="167"/>
      <c r="J23" s="126"/>
      <c r="K23" s="117"/>
      <c r="AO23" s="116"/>
      <c r="AP23" s="116"/>
      <c r="AQ23" s="117"/>
      <c r="AR23" s="117"/>
      <c r="AS23" s="117"/>
      <c r="AT23" s="117"/>
      <c r="AU23" s="117"/>
      <c r="AV23" s="117"/>
      <c r="AW23" s="117"/>
      <c r="AX23" s="117"/>
      <c r="AY23" s="117"/>
      <c r="AZ23" s="2"/>
      <c r="BA23" s="2"/>
    </row>
    <row r="24" spans="1:53" ht="18.75" x14ac:dyDescent="0.3">
      <c r="A24" s="163"/>
      <c r="B24" s="163"/>
      <c r="C24" s="163"/>
      <c r="D24" s="163"/>
      <c r="E24" s="163"/>
      <c r="F24" s="163"/>
      <c r="G24" s="163"/>
      <c r="H24" s="163"/>
      <c r="I24" s="163"/>
      <c r="J24" s="150"/>
      <c r="AO24" s="117"/>
      <c r="AP24" s="117"/>
      <c r="AQ24" s="119"/>
      <c r="AR24" s="119"/>
      <c r="AS24" s="117"/>
      <c r="AT24" s="117"/>
      <c r="AU24" s="117"/>
      <c r="AV24" s="117"/>
      <c r="AW24" s="117"/>
      <c r="AX24" s="117"/>
      <c r="AY24" s="117"/>
      <c r="AZ24" s="2"/>
      <c r="BA24" s="2"/>
    </row>
    <row r="25" spans="1:53" ht="18" x14ac:dyDescent="0.25">
      <c r="A25" s="149" t="s">
        <v>336</v>
      </c>
      <c r="B25" s="149"/>
      <c r="C25" s="149"/>
      <c r="D25" s="149" t="s">
        <v>9</v>
      </c>
      <c r="E25" s="149"/>
      <c r="F25" s="149" t="s">
        <v>29</v>
      </c>
      <c r="G25" s="149"/>
      <c r="H25" s="149" t="s">
        <v>30</v>
      </c>
      <c r="I25" s="149"/>
      <c r="J25" s="10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"/>
      <c r="BA25" s="1"/>
    </row>
    <row r="26" spans="1:53" ht="18.75" x14ac:dyDescent="0.3">
      <c r="A26" s="149" t="s">
        <v>10</v>
      </c>
      <c r="B26" s="149"/>
      <c r="C26" s="149"/>
      <c r="D26" s="149"/>
      <c r="E26" s="149"/>
      <c r="F26" s="149" t="s">
        <v>11</v>
      </c>
      <c r="G26" s="149"/>
      <c r="H26" s="149"/>
      <c r="I26" s="149" t="s">
        <v>12</v>
      </c>
      <c r="J26" s="100"/>
      <c r="AO26" s="117" t="s">
        <v>336</v>
      </c>
      <c r="AP26" s="117"/>
      <c r="AQ26" s="117"/>
      <c r="AR26" s="117" t="s">
        <v>9</v>
      </c>
      <c r="AS26" s="117"/>
      <c r="AT26" s="117" t="s">
        <v>29</v>
      </c>
      <c r="AU26" s="117"/>
      <c r="AV26" s="117" t="s">
        <v>30</v>
      </c>
      <c r="AW26" s="117"/>
      <c r="AX26" s="117"/>
      <c r="AZ26" s="2"/>
      <c r="BA26" s="2"/>
    </row>
    <row r="27" spans="1:53" ht="18.75" x14ac:dyDescent="0.3">
      <c r="A27" s="81"/>
      <c r="B27" s="99"/>
      <c r="C27" s="80"/>
      <c r="D27" s="81"/>
      <c r="E27" s="81"/>
      <c r="F27" s="81"/>
      <c r="G27" s="81"/>
      <c r="H27" s="81"/>
      <c r="I27" s="80"/>
      <c r="J27" s="100"/>
      <c r="AO27" s="121" t="s">
        <v>10</v>
      </c>
      <c r="AP27" s="122"/>
      <c r="AQ27" s="123"/>
      <c r="AR27" s="117"/>
      <c r="AS27" s="117"/>
      <c r="AT27" s="124" t="s">
        <v>11</v>
      </c>
      <c r="AU27" s="125"/>
      <c r="AW27" s="126" t="s">
        <v>12</v>
      </c>
      <c r="AX27" s="117"/>
      <c r="BA27" s="3"/>
    </row>
    <row r="28" spans="1:53" ht="15.75" x14ac:dyDescent="0.25">
      <c r="A28" s="154"/>
      <c r="B28" s="155"/>
      <c r="C28" s="155"/>
      <c r="D28" s="155"/>
      <c r="E28" s="155"/>
      <c r="F28" s="155"/>
      <c r="G28" s="155"/>
      <c r="H28" s="155"/>
      <c r="I28" s="155"/>
      <c r="J28" s="155"/>
      <c r="K28" s="2"/>
      <c r="L28" s="2"/>
      <c r="M28" s="2"/>
    </row>
    <row r="29" spans="1:53" ht="18" x14ac:dyDescent="0.25">
      <c r="A29" s="156"/>
      <c r="B29" s="156"/>
      <c r="C29" s="156"/>
      <c r="D29" s="156"/>
      <c r="E29" s="156"/>
      <c r="F29" s="156"/>
      <c r="G29" s="156"/>
      <c r="H29" s="156"/>
      <c r="I29" s="156"/>
      <c r="J29" s="156"/>
      <c r="K29" s="120"/>
      <c r="L29" s="2"/>
      <c r="M29" s="2"/>
    </row>
    <row r="30" spans="1:53" ht="18.75" x14ac:dyDescent="0.3">
      <c r="A30" s="150"/>
      <c r="B30" s="150"/>
      <c r="C30" s="150"/>
      <c r="D30" s="150"/>
      <c r="E30" s="150"/>
      <c r="F30" s="150"/>
      <c r="G30" s="150"/>
      <c r="H30" s="150"/>
      <c r="I30" s="150"/>
      <c r="J30" s="150"/>
      <c r="K30" s="117"/>
      <c r="L30" s="2"/>
      <c r="M30" s="2"/>
    </row>
    <row r="31" spans="1:53" ht="18.75" x14ac:dyDescent="0.3">
      <c r="A31" s="151"/>
      <c r="B31" s="152"/>
      <c r="C31" s="152"/>
      <c r="D31" s="150"/>
      <c r="E31" s="150"/>
      <c r="F31" s="152"/>
      <c r="G31" s="153"/>
      <c r="H31" s="157"/>
      <c r="I31" s="157"/>
      <c r="J31" s="150"/>
      <c r="K31" s="124"/>
      <c r="L31" s="2"/>
      <c r="M31" s="2"/>
    </row>
    <row r="32" spans="1:53" ht="15.75" x14ac:dyDescent="0.25">
      <c r="A32" s="158"/>
      <c r="B32" s="154"/>
      <c r="C32" s="155"/>
      <c r="D32" s="155"/>
      <c r="E32" s="155"/>
      <c r="F32" s="155"/>
      <c r="G32" s="155"/>
      <c r="H32" s="155"/>
      <c r="I32" s="155"/>
      <c r="J32" s="2"/>
      <c r="K32" s="2"/>
      <c r="L32" s="2"/>
      <c r="M32" s="2"/>
    </row>
    <row r="33" spans="1:13" ht="15.75" x14ac:dyDescent="0.25">
      <c r="A33" s="155"/>
      <c r="B33" s="155"/>
      <c r="C33" s="155"/>
      <c r="D33" s="155"/>
      <c r="E33" s="155"/>
      <c r="F33" s="155"/>
      <c r="G33" s="155"/>
      <c r="H33" s="155"/>
      <c r="I33" s="155"/>
      <c r="J33" s="2"/>
      <c r="K33" s="2"/>
      <c r="L33" s="2"/>
      <c r="M33" s="2"/>
    </row>
    <row r="34" spans="1:13" x14ac:dyDescent="0.2">
      <c r="A34" s="159"/>
      <c r="B34" s="159"/>
      <c r="C34" s="159"/>
      <c r="D34" s="159"/>
      <c r="E34" s="159"/>
      <c r="F34" s="159"/>
      <c r="G34" s="159"/>
      <c r="H34" s="159"/>
      <c r="I34" s="159"/>
      <c r="J34" s="1"/>
      <c r="K34" s="1"/>
      <c r="L34" s="1"/>
      <c r="M34" s="1"/>
    </row>
    <row r="35" spans="1:13" ht="15.75" x14ac:dyDescent="0.25">
      <c r="A35" s="155"/>
      <c r="B35" s="155"/>
      <c r="C35" s="155"/>
      <c r="D35" s="155"/>
      <c r="E35" s="16"/>
      <c r="G35" s="155"/>
      <c r="H35" s="155"/>
      <c r="I35" s="155"/>
      <c r="J35" s="2"/>
      <c r="L35" s="2"/>
      <c r="M35" s="2"/>
    </row>
    <row r="36" spans="1:13" ht="15.75" x14ac:dyDescent="0.25">
      <c r="A36" s="160"/>
      <c r="B36" s="161"/>
      <c r="C36" s="161"/>
      <c r="D36" s="155"/>
      <c r="E36" s="161"/>
      <c r="G36" s="161"/>
      <c r="H36" s="162"/>
      <c r="I36" s="162"/>
      <c r="J36" s="2"/>
      <c r="K36" s="2"/>
      <c r="M36" s="3"/>
    </row>
    <row r="38" spans="1:13" ht="15" x14ac:dyDescent="0.25">
      <c r="A38" s="81"/>
      <c r="B38" s="99"/>
      <c r="C38" s="80"/>
      <c r="D38" s="81"/>
      <c r="E38" s="81"/>
      <c r="F38" s="81"/>
      <c r="G38" s="81"/>
      <c r="H38" s="81"/>
      <c r="I38" s="80"/>
    </row>
    <row r="39" spans="1:13" ht="15" x14ac:dyDescent="0.25">
      <c r="A39" s="81"/>
      <c r="B39" s="99"/>
      <c r="C39" s="80"/>
      <c r="D39" s="81"/>
      <c r="E39" s="81"/>
      <c r="F39" s="81"/>
      <c r="G39" s="81"/>
      <c r="H39" s="81"/>
      <c r="I39" s="80"/>
    </row>
    <row r="40" spans="1:13" ht="15" x14ac:dyDescent="0.25">
      <c r="A40" s="81"/>
      <c r="B40" s="99"/>
      <c r="C40" s="80"/>
      <c r="D40" s="81"/>
      <c r="E40" s="81"/>
      <c r="F40" s="81"/>
      <c r="G40" s="81"/>
      <c r="H40" s="81"/>
      <c r="I40" s="80"/>
    </row>
    <row r="41" spans="1:13" ht="15" x14ac:dyDescent="0.25">
      <c r="A41" s="81"/>
      <c r="B41" s="99"/>
      <c r="C41" s="80"/>
      <c r="D41" s="81"/>
      <c r="E41" s="81"/>
      <c r="F41" s="81"/>
      <c r="G41" s="81"/>
      <c r="H41" s="81"/>
      <c r="I41" s="80"/>
    </row>
    <row r="42" spans="1:13" ht="15" x14ac:dyDescent="0.25">
      <c r="A42" s="81"/>
      <c r="B42" s="99"/>
      <c r="C42" s="80"/>
      <c r="D42" s="81"/>
      <c r="E42" s="81"/>
      <c r="F42" s="81"/>
      <c r="G42" s="81"/>
      <c r="H42" s="81"/>
      <c r="I42" s="80"/>
    </row>
    <row r="43" spans="1:13" ht="15" x14ac:dyDescent="0.25">
      <c r="A43" s="81"/>
      <c r="B43" s="99"/>
      <c r="C43" s="80"/>
      <c r="D43" s="81"/>
      <c r="E43" s="81"/>
      <c r="F43" s="81"/>
      <c r="G43" s="81"/>
      <c r="H43" s="81"/>
      <c r="I43" s="80"/>
    </row>
    <row r="44" spans="1:13" ht="15" x14ac:dyDescent="0.25">
      <c r="A44" s="81"/>
      <c r="B44" s="99"/>
      <c r="C44" s="80"/>
      <c r="D44" s="81"/>
      <c r="E44" s="81"/>
      <c r="F44" s="81"/>
      <c r="G44" s="81"/>
      <c r="H44" s="81"/>
      <c r="I44" s="80"/>
    </row>
    <row r="45" spans="1:13" ht="15" x14ac:dyDescent="0.25">
      <c r="A45" s="81"/>
      <c r="B45" s="99"/>
      <c r="C45" s="80"/>
      <c r="D45" s="81"/>
      <c r="E45" s="81"/>
      <c r="F45" s="81"/>
      <c r="G45" s="81"/>
      <c r="H45" s="81"/>
      <c r="I45" s="80"/>
    </row>
    <row r="46" spans="1:13" ht="15" x14ac:dyDescent="0.25">
      <c r="A46" s="81"/>
      <c r="B46" s="99"/>
      <c r="C46" s="80"/>
      <c r="D46" s="81"/>
      <c r="E46" s="81"/>
      <c r="F46" s="81"/>
      <c r="G46" s="81"/>
      <c r="H46" s="81"/>
      <c r="I46" s="80"/>
    </row>
    <row r="47" spans="1:13" ht="15" x14ac:dyDescent="0.25">
      <c r="A47" s="81"/>
      <c r="B47" s="99"/>
      <c r="C47" s="80"/>
      <c r="D47" s="81"/>
      <c r="E47" s="81"/>
      <c r="F47" s="81"/>
      <c r="G47" s="81"/>
      <c r="H47" s="81"/>
      <c r="I47" s="80"/>
    </row>
    <row r="48" spans="1:13" ht="15" x14ac:dyDescent="0.25">
      <c r="A48" s="81"/>
      <c r="B48" s="99"/>
      <c r="C48" s="80"/>
      <c r="D48" s="81"/>
      <c r="E48" s="81"/>
      <c r="F48" s="81"/>
      <c r="G48" s="81"/>
      <c r="H48" s="81"/>
      <c r="I48" s="80"/>
    </row>
    <row r="49" spans="1:9" ht="15" x14ac:dyDescent="0.25">
      <c r="A49" s="81"/>
      <c r="B49" s="99"/>
      <c r="C49" s="80"/>
      <c r="D49" s="81"/>
      <c r="E49" s="81"/>
      <c r="F49" s="81"/>
      <c r="G49" s="81"/>
      <c r="H49" s="81"/>
      <c r="I49" s="80"/>
    </row>
    <row r="50" spans="1:9" ht="15" x14ac:dyDescent="0.25">
      <c r="A50" s="81"/>
      <c r="B50" s="99"/>
      <c r="C50" s="80"/>
      <c r="D50" s="81"/>
      <c r="E50" s="81"/>
      <c r="F50" s="81"/>
      <c r="G50" s="81"/>
      <c r="H50" s="81"/>
      <c r="I50" s="80"/>
    </row>
    <row r="51" spans="1:9" ht="15" x14ac:dyDescent="0.25">
      <c r="A51" s="81"/>
      <c r="B51" s="99"/>
      <c r="C51" s="80"/>
      <c r="D51" s="81"/>
      <c r="E51" s="81"/>
      <c r="F51" s="81"/>
      <c r="G51" s="81"/>
      <c r="H51" s="81"/>
      <c r="I51" s="80"/>
    </row>
    <row r="52" spans="1:9" ht="15" x14ac:dyDescent="0.25">
      <c r="A52" s="81"/>
      <c r="B52" s="99"/>
      <c r="C52" s="80"/>
      <c r="D52" s="81"/>
      <c r="E52" s="81"/>
      <c r="F52" s="81"/>
      <c r="G52" s="81"/>
      <c r="H52" s="81"/>
      <c r="I52" s="80"/>
    </row>
    <row r="53" spans="1:9" ht="15" x14ac:dyDescent="0.25">
      <c r="A53" s="81"/>
      <c r="B53" s="99"/>
      <c r="C53" s="80"/>
      <c r="D53" s="81"/>
      <c r="E53" s="81"/>
      <c r="F53" s="81"/>
      <c r="G53" s="81"/>
      <c r="H53" s="81"/>
      <c r="I53" s="80"/>
    </row>
    <row r="54" spans="1:9" ht="15" x14ac:dyDescent="0.25">
      <c r="A54" s="81"/>
      <c r="B54" s="99"/>
      <c r="C54" s="80"/>
      <c r="D54" s="81"/>
      <c r="E54" s="81"/>
      <c r="F54" s="81"/>
      <c r="G54" s="81"/>
      <c r="H54" s="81"/>
      <c r="I54" s="80"/>
    </row>
    <row r="55" spans="1:9" ht="15" x14ac:dyDescent="0.25">
      <c r="A55" s="81"/>
      <c r="B55" s="99"/>
      <c r="C55" s="80"/>
      <c r="D55" s="81"/>
      <c r="E55" s="81"/>
      <c r="F55" s="81"/>
      <c r="G55" s="81"/>
      <c r="H55" s="81"/>
      <c r="I55" s="80"/>
    </row>
    <row r="56" spans="1:9" ht="15" x14ac:dyDescent="0.25">
      <c r="A56" s="81"/>
      <c r="B56" s="99"/>
      <c r="C56" s="80"/>
      <c r="D56" s="81"/>
      <c r="E56" s="81"/>
      <c r="F56" s="81"/>
      <c r="G56" s="81"/>
      <c r="H56" s="81"/>
      <c r="I56" s="80"/>
    </row>
    <row r="57" spans="1:9" ht="15" x14ac:dyDescent="0.25">
      <c r="A57" s="81"/>
      <c r="B57" s="99"/>
      <c r="C57" s="80"/>
      <c r="D57" s="81"/>
      <c r="E57" s="81"/>
      <c r="F57" s="81"/>
      <c r="G57" s="81"/>
      <c r="H57" s="81"/>
      <c r="I57" s="80"/>
    </row>
    <row r="58" spans="1:9" ht="15" x14ac:dyDescent="0.25">
      <c r="A58" s="81"/>
      <c r="B58" s="99"/>
      <c r="C58" s="80"/>
      <c r="D58" s="81"/>
      <c r="E58" s="81"/>
      <c r="F58" s="81"/>
      <c r="G58" s="81"/>
      <c r="H58" s="81"/>
      <c r="I58" s="80"/>
    </row>
    <row r="59" spans="1:9" ht="15" x14ac:dyDescent="0.25">
      <c r="A59" s="81"/>
      <c r="B59" s="99"/>
      <c r="C59" s="80"/>
      <c r="D59" s="81"/>
      <c r="E59" s="81"/>
      <c r="F59" s="81"/>
      <c r="G59" s="81"/>
      <c r="H59" s="81"/>
      <c r="I59" s="80"/>
    </row>
    <row r="60" spans="1:9" ht="15" x14ac:dyDescent="0.25">
      <c r="A60" s="81"/>
      <c r="B60" s="99"/>
      <c r="C60" s="80"/>
      <c r="D60" s="81"/>
      <c r="E60" s="81"/>
      <c r="F60" s="81"/>
      <c r="G60" s="81"/>
      <c r="H60" s="81"/>
      <c r="I60" s="80"/>
    </row>
    <row r="61" spans="1:9" ht="15" x14ac:dyDescent="0.25">
      <c r="A61" s="81"/>
      <c r="B61" s="99"/>
      <c r="C61" s="80"/>
      <c r="D61" s="81"/>
      <c r="E61" s="81"/>
      <c r="F61" s="81"/>
      <c r="G61" s="81"/>
      <c r="H61" s="81"/>
      <c r="I61" s="80"/>
    </row>
    <row r="62" spans="1:9" ht="15" x14ac:dyDescent="0.25">
      <c r="A62" s="81"/>
      <c r="B62" s="99"/>
      <c r="C62" s="80"/>
      <c r="D62" s="81"/>
      <c r="E62" s="81"/>
      <c r="F62" s="81"/>
      <c r="G62" s="81"/>
      <c r="H62" s="81"/>
      <c r="I62" s="80"/>
    </row>
    <row r="63" spans="1:9" ht="15" x14ac:dyDescent="0.25">
      <c r="A63" s="81"/>
      <c r="B63" s="99"/>
      <c r="C63" s="80"/>
      <c r="D63" s="81"/>
      <c r="E63" s="81"/>
      <c r="F63" s="81"/>
      <c r="G63" s="81"/>
      <c r="H63" s="81"/>
      <c r="I63" s="80"/>
    </row>
    <row r="64" spans="1:9" ht="15" x14ac:dyDescent="0.25">
      <c r="A64" s="81"/>
      <c r="B64" s="99"/>
      <c r="C64" s="80"/>
      <c r="D64" s="81"/>
      <c r="E64" s="81"/>
      <c r="F64" s="81"/>
      <c r="G64" s="81"/>
      <c r="H64" s="81"/>
      <c r="I64" s="80"/>
    </row>
    <row r="65" spans="1:9" ht="15" x14ac:dyDescent="0.25">
      <c r="A65" s="81"/>
      <c r="B65" s="99"/>
      <c r="C65" s="80"/>
      <c r="D65" s="81"/>
      <c r="E65" s="81"/>
      <c r="F65" s="81"/>
      <c r="G65" s="81"/>
      <c r="H65" s="81"/>
      <c r="I65" s="80"/>
    </row>
    <row r="66" spans="1:9" ht="15" x14ac:dyDescent="0.25">
      <c r="A66" s="81"/>
      <c r="B66" s="99"/>
      <c r="C66" s="80"/>
      <c r="D66" s="81"/>
      <c r="E66" s="81"/>
      <c r="F66" s="81"/>
      <c r="G66" s="81"/>
      <c r="H66" s="81"/>
      <c r="I66" s="80"/>
    </row>
    <row r="67" spans="1:9" ht="15" x14ac:dyDescent="0.25">
      <c r="A67" s="81"/>
      <c r="B67" s="99"/>
      <c r="C67" s="80"/>
      <c r="D67" s="81"/>
      <c r="E67" s="81"/>
      <c r="F67" s="81"/>
      <c r="G67" s="81"/>
      <c r="H67" s="81"/>
      <c r="I67" s="80"/>
    </row>
    <row r="68" spans="1:9" ht="15" x14ac:dyDescent="0.25">
      <c r="A68" s="81"/>
      <c r="B68" s="99"/>
      <c r="C68" s="80"/>
      <c r="D68" s="81"/>
      <c r="E68" s="81"/>
      <c r="F68" s="81"/>
      <c r="G68" s="81"/>
      <c r="H68" s="81"/>
      <c r="I68" s="80"/>
    </row>
    <row r="69" spans="1:9" ht="15" x14ac:dyDescent="0.25">
      <c r="A69" s="81"/>
      <c r="B69" s="99"/>
      <c r="C69" s="80"/>
      <c r="D69" s="81"/>
      <c r="E69" s="81"/>
      <c r="F69" s="81"/>
      <c r="G69" s="81"/>
      <c r="H69" s="81"/>
      <c r="I69" s="80"/>
    </row>
    <row r="70" spans="1:9" ht="15" x14ac:dyDescent="0.25">
      <c r="A70" s="81"/>
      <c r="B70" s="99"/>
      <c r="C70" s="80"/>
      <c r="D70" s="81"/>
      <c r="E70" s="81"/>
      <c r="F70" s="81"/>
      <c r="G70" s="81"/>
      <c r="H70" s="81"/>
      <c r="I70" s="80"/>
    </row>
    <row r="71" spans="1:9" ht="15" x14ac:dyDescent="0.25">
      <c r="A71" s="81"/>
      <c r="B71" s="99"/>
      <c r="C71" s="80"/>
      <c r="D71" s="81"/>
      <c r="E71" s="81"/>
      <c r="F71" s="81"/>
      <c r="G71" s="81"/>
      <c r="H71" s="81"/>
      <c r="I71" s="80"/>
    </row>
    <row r="72" spans="1:9" ht="15" x14ac:dyDescent="0.25">
      <c r="A72" s="81"/>
      <c r="B72" s="99"/>
      <c r="C72" s="80"/>
      <c r="D72" s="81"/>
      <c r="E72" s="81"/>
      <c r="F72" s="81"/>
      <c r="G72" s="81"/>
      <c r="H72" s="81"/>
      <c r="I72" s="80"/>
    </row>
    <row r="73" spans="1:9" ht="15" x14ac:dyDescent="0.25">
      <c r="A73" s="81"/>
      <c r="B73" s="99"/>
      <c r="C73" s="80"/>
      <c r="D73" s="81"/>
      <c r="E73" s="81"/>
      <c r="F73" s="81"/>
      <c r="G73" s="81"/>
      <c r="H73" s="81"/>
      <c r="I73" s="80"/>
    </row>
    <row r="74" spans="1:9" ht="15" x14ac:dyDescent="0.25">
      <c r="A74" s="81"/>
      <c r="B74" s="99"/>
      <c r="C74" s="80"/>
      <c r="D74" s="81"/>
      <c r="E74" s="81"/>
      <c r="F74" s="81"/>
      <c r="G74" s="81"/>
      <c r="H74" s="81"/>
      <c r="I74" s="80"/>
    </row>
    <row r="75" spans="1:9" ht="15" x14ac:dyDescent="0.25">
      <c r="A75" s="81"/>
      <c r="B75" s="99"/>
      <c r="C75" s="80"/>
      <c r="D75" s="81"/>
      <c r="E75" s="81"/>
      <c r="F75" s="81"/>
      <c r="G75" s="81"/>
      <c r="H75" s="81"/>
      <c r="I75" s="80"/>
    </row>
    <row r="76" spans="1:9" ht="15" x14ac:dyDescent="0.25">
      <c r="A76" s="81"/>
      <c r="B76" s="99"/>
      <c r="C76" s="80"/>
      <c r="D76" s="81"/>
      <c r="E76" s="81"/>
      <c r="F76" s="81"/>
      <c r="G76" s="81"/>
      <c r="H76" s="81"/>
      <c r="I76" s="80"/>
    </row>
    <row r="77" spans="1:9" ht="15" x14ac:dyDescent="0.25">
      <c r="A77" s="81"/>
      <c r="B77" s="99"/>
      <c r="C77" s="80"/>
      <c r="D77" s="81"/>
      <c r="E77" s="81"/>
      <c r="F77" s="81"/>
      <c r="G77" s="81"/>
      <c r="H77" s="81"/>
      <c r="I77" s="80"/>
    </row>
    <row r="78" spans="1:9" ht="15" x14ac:dyDescent="0.25">
      <c r="A78" s="81"/>
      <c r="B78" s="99"/>
      <c r="C78" s="80"/>
      <c r="D78" s="81"/>
      <c r="E78" s="81"/>
      <c r="F78" s="81"/>
      <c r="G78" s="81"/>
      <c r="H78" s="81"/>
      <c r="I78" s="80"/>
    </row>
    <row r="79" spans="1:9" ht="15" x14ac:dyDescent="0.25">
      <c r="A79" s="81"/>
      <c r="B79" s="99"/>
      <c r="C79" s="80"/>
      <c r="D79" s="81"/>
      <c r="E79" s="81"/>
      <c r="F79" s="81"/>
      <c r="G79" s="81"/>
      <c r="H79" s="81"/>
      <c r="I79" s="80"/>
    </row>
    <row r="80" spans="1:9" ht="15" x14ac:dyDescent="0.25">
      <c r="A80" s="81"/>
      <c r="B80" s="99"/>
      <c r="C80" s="80"/>
      <c r="D80" s="81"/>
      <c r="E80" s="81"/>
      <c r="F80" s="81"/>
      <c r="G80" s="81"/>
      <c r="H80" s="81"/>
      <c r="I80" s="80"/>
    </row>
    <row r="81" spans="1:9" ht="15" x14ac:dyDescent="0.25">
      <c r="A81" s="81"/>
      <c r="B81" s="99"/>
      <c r="C81" s="80"/>
      <c r="D81" s="81"/>
      <c r="E81" s="81"/>
      <c r="F81" s="81"/>
      <c r="G81" s="81"/>
      <c r="H81" s="81"/>
      <c r="I81" s="80"/>
    </row>
    <row r="82" spans="1:9" ht="15" x14ac:dyDescent="0.25">
      <c r="A82" s="81"/>
      <c r="B82" s="99"/>
      <c r="C82" s="80"/>
      <c r="D82" s="81"/>
      <c r="E82" s="81"/>
      <c r="F82" s="81"/>
      <c r="G82" s="81"/>
      <c r="H82" s="81"/>
      <c r="I82" s="80"/>
    </row>
    <row r="83" spans="1:9" ht="15" x14ac:dyDescent="0.25">
      <c r="A83" s="81"/>
      <c r="B83" s="99"/>
      <c r="C83" s="80"/>
      <c r="D83" s="81"/>
      <c r="E83" s="81"/>
      <c r="F83" s="81"/>
      <c r="G83" s="81"/>
      <c r="H83" s="81"/>
      <c r="I83" s="80"/>
    </row>
    <row r="84" spans="1:9" ht="15" x14ac:dyDescent="0.25">
      <c r="A84" s="81"/>
      <c r="B84" s="99"/>
      <c r="C84" s="80"/>
      <c r="D84" s="81"/>
      <c r="E84" s="81"/>
      <c r="F84" s="81"/>
      <c r="G84" s="81"/>
      <c r="H84" s="81"/>
      <c r="I84" s="80"/>
    </row>
    <row r="85" spans="1:9" ht="15" x14ac:dyDescent="0.25">
      <c r="A85" s="81"/>
      <c r="B85" s="99"/>
      <c r="C85" s="80"/>
      <c r="D85" s="81"/>
      <c r="E85" s="81"/>
      <c r="F85" s="81"/>
      <c r="G85" s="81"/>
      <c r="H85" s="81"/>
      <c r="I85" s="80"/>
    </row>
    <row r="86" spans="1:9" ht="15" x14ac:dyDescent="0.25">
      <c r="A86" s="81"/>
      <c r="B86" s="99"/>
      <c r="C86" s="80"/>
      <c r="D86" s="81"/>
      <c r="E86" s="81"/>
      <c r="F86" s="81"/>
      <c r="G86" s="81"/>
      <c r="H86" s="81"/>
      <c r="I86" s="80"/>
    </row>
    <row r="87" spans="1:9" ht="15" x14ac:dyDescent="0.25">
      <c r="A87" s="81"/>
      <c r="B87" s="99"/>
      <c r="C87" s="80"/>
      <c r="D87" s="81"/>
      <c r="E87" s="81"/>
      <c r="F87" s="81"/>
      <c r="G87" s="81"/>
      <c r="H87" s="81"/>
      <c r="I87" s="80"/>
    </row>
    <row r="88" spans="1:9" ht="15" x14ac:dyDescent="0.25">
      <c r="A88" s="81"/>
      <c r="B88" s="99"/>
      <c r="C88" s="80"/>
      <c r="D88" s="81"/>
      <c r="E88" s="81"/>
      <c r="F88" s="81"/>
      <c r="G88" s="81"/>
      <c r="H88" s="81"/>
      <c r="I88" s="80"/>
    </row>
    <row r="89" spans="1:9" ht="15" x14ac:dyDescent="0.25">
      <c r="A89" s="81"/>
      <c r="B89" s="99"/>
      <c r="C89" s="80"/>
      <c r="D89" s="81"/>
      <c r="E89" s="81"/>
      <c r="F89" s="81"/>
      <c r="G89" s="81"/>
      <c r="H89" s="81"/>
      <c r="I89" s="80"/>
    </row>
    <row r="90" spans="1:9" ht="15" x14ac:dyDescent="0.25">
      <c r="A90" s="81"/>
      <c r="B90" s="99"/>
      <c r="C90" s="80"/>
      <c r="D90" s="81"/>
      <c r="E90" s="81"/>
      <c r="F90" s="81"/>
      <c r="G90" s="81"/>
      <c r="H90" s="81"/>
      <c r="I90" s="80"/>
    </row>
    <row r="91" spans="1:9" ht="15" x14ac:dyDescent="0.25">
      <c r="A91" s="81"/>
      <c r="B91" s="99"/>
      <c r="C91" s="80"/>
      <c r="D91" s="81"/>
      <c r="E91" s="81"/>
      <c r="F91" s="81"/>
      <c r="G91" s="81"/>
      <c r="H91" s="81"/>
      <c r="I91" s="80"/>
    </row>
    <row r="92" spans="1:9" ht="15" x14ac:dyDescent="0.25">
      <c r="A92" s="81"/>
      <c r="B92" s="99"/>
      <c r="C92" s="80"/>
      <c r="D92" s="81"/>
      <c r="E92" s="81"/>
      <c r="F92" s="81"/>
      <c r="G92" s="81"/>
      <c r="H92" s="81"/>
      <c r="I92" s="80"/>
    </row>
    <row r="93" spans="1:9" ht="15" x14ac:dyDescent="0.25">
      <c r="A93" s="81"/>
      <c r="B93" s="99"/>
      <c r="C93" s="80"/>
      <c r="D93" s="81"/>
      <c r="E93" s="81"/>
      <c r="F93" s="81"/>
      <c r="G93" s="81"/>
      <c r="H93" s="81"/>
      <c r="I93" s="80"/>
    </row>
    <row r="94" spans="1:9" ht="15" x14ac:dyDescent="0.25">
      <c r="A94" s="81"/>
      <c r="B94" s="99"/>
      <c r="C94" s="80"/>
      <c r="D94" s="81"/>
      <c r="E94" s="81"/>
      <c r="F94" s="81"/>
      <c r="G94" s="81"/>
      <c r="H94" s="81"/>
      <c r="I94" s="80"/>
    </row>
    <row r="95" spans="1:9" ht="15" x14ac:dyDescent="0.25">
      <c r="A95" s="81"/>
      <c r="B95" s="99"/>
      <c r="C95" s="80"/>
      <c r="D95" s="81"/>
      <c r="E95" s="81"/>
      <c r="F95" s="81"/>
      <c r="G95" s="81"/>
      <c r="H95" s="81"/>
      <c r="I95" s="80"/>
    </row>
    <row r="96" spans="1:9" ht="15" x14ac:dyDescent="0.25">
      <c r="A96" s="81"/>
      <c r="B96" s="99"/>
      <c r="C96" s="80"/>
      <c r="D96" s="81"/>
      <c r="E96" s="81"/>
      <c r="F96" s="81"/>
      <c r="G96" s="81"/>
      <c r="H96" s="81"/>
      <c r="I96" s="80"/>
    </row>
    <row r="97" spans="1:9" ht="15" x14ac:dyDescent="0.25">
      <c r="A97" s="81"/>
      <c r="B97" s="99"/>
      <c r="C97" s="80"/>
      <c r="D97" s="81"/>
      <c r="E97" s="81"/>
      <c r="F97" s="81"/>
      <c r="G97" s="81"/>
      <c r="H97" s="81"/>
      <c r="I97" s="80"/>
    </row>
    <row r="98" spans="1:9" ht="15" x14ac:dyDescent="0.25">
      <c r="A98" s="81"/>
      <c r="B98" s="99"/>
      <c r="C98" s="80"/>
      <c r="D98" s="81"/>
      <c r="E98" s="81"/>
      <c r="F98" s="81"/>
      <c r="G98" s="81"/>
      <c r="H98" s="81"/>
      <c r="I98" s="80"/>
    </row>
    <row r="99" spans="1:9" ht="15" x14ac:dyDescent="0.25">
      <c r="A99" s="81"/>
      <c r="B99" s="99"/>
      <c r="C99" s="80"/>
      <c r="D99" s="81"/>
      <c r="E99" s="81"/>
      <c r="F99" s="81"/>
      <c r="G99" s="81"/>
      <c r="H99" s="81"/>
      <c r="I99" s="80"/>
    </row>
    <row r="100" spans="1:9" ht="15" x14ac:dyDescent="0.25">
      <c r="A100" s="81"/>
      <c r="B100" s="99"/>
      <c r="C100" s="80"/>
      <c r="D100" s="81"/>
      <c r="E100" s="81"/>
      <c r="F100" s="81"/>
      <c r="G100" s="81"/>
      <c r="H100" s="81"/>
      <c r="I100" s="80"/>
    </row>
    <row r="101" spans="1:9" ht="15" x14ac:dyDescent="0.25">
      <c r="A101" s="81"/>
      <c r="B101" s="99"/>
      <c r="C101" s="80"/>
      <c r="D101" s="81"/>
      <c r="E101" s="81"/>
      <c r="F101" s="81"/>
      <c r="G101" s="81"/>
      <c r="H101" s="81"/>
      <c r="I101" s="80"/>
    </row>
    <row r="102" spans="1:9" ht="15" x14ac:dyDescent="0.25">
      <c r="A102" s="81"/>
      <c r="B102" s="99"/>
      <c r="C102" s="80"/>
      <c r="D102" s="81"/>
      <c r="E102" s="81"/>
      <c r="F102" s="81"/>
      <c r="G102" s="81"/>
      <c r="H102" s="81"/>
      <c r="I102" s="80"/>
    </row>
    <row r="103" spans="1:9" ht="15" x14ac:dyDescent="0.25">
      <c r="A103" s="81"/>
      <c r="B103" s="99"/>
      <c r="C103" s="80"/>
      <c r="D103" s="81"/>
      <c r="E103" s="81"/>
      <c r="F103" s="81"/>
      <c r="G103" s="81"/>
      <c r="H103" s="81"/>
      <c r="I103" s="80"/>
    </row>
    <row r="104" spans="1:9" ht="15" x14ac:dyDescent="0.25">
      <c r="A104" s="81"/>
      <c r="B104" s="99"/>
      <c r="C104" s="80"/>
      <c r="D104" s="81"/>
      <c r="E104" s="81"/>
      <c r="F104" s="81"/>
      <c r="G104" s="81"/>
      <c r="H104" s="81"/>
      <c r="I104" s="80"/>
    </row>
    <row r="105" spans="1:9" ht="15" x14ac:dyDescent="0.25">
      <c r="A105" s="81"/>
      <c r="B105" s="99"/>
      <c r="C105" s="80"/>
      <c r="D105" s="81"/>
      <c r="E105" s="81"/>
      <c r="F105" s="81"/>
      <c r="G105" s="81"/>
      <c r="H105" s="81"/>
      <c r="I105" s="80"/>
    </row>
    <row r="106" spans="1:9" ht="15" x14ac:dyDescent="0.25">
      <c r="A106" s="81"/>
      <c r="B106" s="99"/>
      <c r="C106" s="80"/>
      <c r="D106" s="81"/>
      <c r="E106" s="81"/>
      <c r="F106" s="81"/>
      <c r="G106" s="81"/>
      <c r="H106" s="81"/>
      <c r="I106" s="80"/>
    </row>
    <row r="107" spans="1:9" ht="15" x14ac:dyDescent="0.25">
      <c r="A107" s="81"/>
      <c r="B107" s="99"/>
      <c r="C107" s="80"/>
      <c r="D107" s="81"/>
      <c r="E107" s="81"/>
      <c r="F107" s="81"/>
      <c r="G107" s="81"/>
      <c r="H107" s="81"/>
      <c r="I107" s="80"/>
    </row>
    <row r="108" spans="1:9" ht="15" x14ac:dyDescent="0.25">
      <c r="A108" s="81"/>
      <c r="B108" s="99"/>
      <c r="C108" s="80"/>
      <c r="D108" s="81"/>
      <c r="E108" s="81"/>
      <c r="F108" s="81"/>
      <c r="G108" s="81"/>
      <c r="H108" s="81"/>
      <c r="I108" s="80"/>
    </row>
    <row r="109" spans="1:9" ht="15" x14ac:dyDescent="0.25">
      <c r="A109" s="81"/>
      <c r="B109" s="99"/>
      <c r="C109" s="80"/>
      <c r="D109" s="81"/>
      <c r="E109" s="81"/>
      <c r="F109" s="81"/>
      <c r="G109" s="81"/>
      <c r="H109" s="81"/>
      <c r="I109" s="80"/>
    </row>
    <row r="110" spans="1:9" ht="15" x14ac:dyDescent="0.25">
      <c r="A110" s="81"/>
      <c r="B110" s="99"/>
      <c r="C110" s="80"/>
      <c r="D110" s="81"/>
      <c r="E110" s="81"/>
      <c r="F110" s="81"/>
      <c r="G110" s="81"/>
      <c r="H110" s="81"/>
      <c r="I110" s="80"/>
    </row>
    <row r="111" spans="1:9" ht="15" x14ac:dyDescent="0.25">
      <c r="A111" s="81"/>
      <c r="B111" s="99"/>
      <c r="C111" s="80"/>
      <c r="D111" s="81"/>
      <c r="E111" s="81"/>
      <c r="F111" s="81"/>
      <c r="G111" s="81"/>
      <c r="H111" s="81"/>
      <c r="I111" s="80"/>
    </row>
    <row r="112" spans="1:9" ht="15" x14ac:dyDescent="0.25">
      <c r="A112" s="81"/>
      <c r="B112" s="99"/>
      <c r="C112" s="80"/>
      <c r="D112" s="81"/>
      <c r="E112" s="81"/>
      <c r="F112" s="81"/>
      <c r="G112" s="81"/>
      <c r="H112" s="81"/>
      <c r="I112" s="80"/>
    </row>
    <row r="113" spans="1:9" ht="15" x14ac:dyDescent="0.25">
      <c r="A113" s="81"/>
      <c r="B113" s="99"/>
      <c r="C113" s="80"/>
      <c r="D113" s="81"/>
      <c r="E113" s="81"/>
      <c r="F113" s="81"/>
      <c r="G113" s="81"/>
      <c r="H113" s="81"/>
      <c r="I113" s="80"/>
    </row>
    <row r="114" spans="1:9" ht="15" x14ac:dyDescent="0.25">
      <c r="A114" s="81"/>
      <c r="B114" s="99"/>
      <c r="C114" s="80"/>
      <c r="D114" s="81"/>
      <c r="E114" s="81"/>
      <c r="F114" s="81"/>
      <c r="G114" s="81"/>
      <c r="H114" s="81"/>
      <c r="I114" s="80"/>
    </row>
    <row r="115" spans="1:9" ht="15" x14ac:dyDescent="0.25">
      <c r="A115" s="81"/>
      <c r="B115" s="99"/>
      <c r="C115" s="80"/>
      <c r="D115" s="81"/>
      <c r="E115" s="81"/>
      <c r="F115" s="81"/>
      <c r="G115" s="81"/>
      <c r="H115" s="81"/>
      <c r="I115" s="80"/>
    </row>
    <row r="116" spans="1:9" ht="15" x14ac:dyDescent="0.25">
      <c r="A116" s="81"/>
      <c r="B116" s="99"/>
      <c r="C116" s="80"/>
      <c r="D116" s="81"/>
      <c r="E116" s="81"/>
      <c r="F116" s="81"/>
      <c r="G116" s="81"/>
      <c r="H116" s="81"/>
      <c r="I116" s="80"/>
    </row>
    <row r="117" spans="1:9" ht="15" x14ac:dyDescent="0.25">
      <c r="A117" s="81"/>
      <c r="B117" s="99"/>
      <c r="C117" s="80"/>
      <c r="D117" s="81"/>
      <c r="E117" s="81"/>
      <c r="F117" s="81"/>
      <c r="G117" s="81"/>
      <c r="H117" s="81"/>
      <c r="I117" s="80"/>
    </row>
    <row r="118" spans="1:9" ht="15" x14ac:dyDescent="0.25">
      <c r="A118" s="81"/>
      <c r="B118" s="99"/>
      <c r="C118" s="80"/>
      <c r="D118" s="81"/>
      <c r="E118" s="81"/>
      <c r="F118" s="81"/>
      <c r="G118" s="81"/>
      <c r="H118" s="81"/>
      <c r="I118" s="80"/>
    </row>
    <row r="119" spans="1:9" ht="15" x14ac:dyDescent="0.25">
      <c r="A119" s="81"/>
      <c r="B119" s="99"/>
      <c r="C119" s="80"/>
      <c r="D119" s="81"/>
      <c r="E119" s="81"/>
      <c r="F119" s="81"/>
      <c r="G119" s="81"/>
      <c r="H119" s="81"/>
      <c r="I119" s="80"/>
    </row>
    <row r="120" spans="1:9" ht="15" x14ac:dyDescent="0.25">
      <c r="A120" s="81"/>
      <c r="B120" s="99"/>
      <c r="C120" s="80"/>
      <c r="D120" s="81"/>
      <c r="E120" s="81"/>
      <c r="F120" s="81"/>
      <c r="G120" s="81"/>
      <c r="H120" s="81"/>
      <c r="I120" s="80"/>
    </row>
    <row r="121" spans="1:9" ht="15" x14ac:dyDescent="0.25">
      <c r="A121" s="81"/>
      <c r="B121" s="99"/>
      <c r="C121" s="80"/>
      <c r="D121" s="81"/>
      <c r="E121" s="81"/>
      <c r="F121" s="81"/>
      <c r="G121" s="81"/>
      <c r="H121" s="81"/>
      <c r="I121" s="80"/>
    </row>
    <row r="122" spans="1:9" ht="15" x14ac:dyDescent="0.25">
      <c r="A122" s="81"/>
      <c r="B122" s="99"/>
      <c r="C122" s="80"/>
      <c r="D122" s="81"/>
      <c r="E122" s="81"/>
      <c r="F122" s="81"/>
      <c r="G122" s="81"/>
      <c r="H122" s="81"/>
      <c r="I122" s="80"/>
    </row>
    <row r="123" spans="1:9" ht="15" x14ac:dyDescent="0.25">
      <c r="A123" s="81"/>
      <c r="B123" s="99"/>
      <c r="C123" s="80"/>
      <c r="D123" s="81"/>
      <c r="E123" s="81"/>
      <c r="F123" s="81"/>
      <c r="G123" s="81"/>
      <c r="H123" s="81"/>
      <c r="I123" s="80"/>
    </row>
    <row r="124" spans="1:9" ht="15" x14ac:dyDescent="0.25">
      <c r="A124" s="81"/>
      <c r="B124" s="99"/>
      <c r="C124" s="80"/>
      <c r="D124" s="81"/>
      <c r="E124" s="81"/>
      <c r="F124" s="81"/>
      <c r="G124" s="81"/>
      <c r="H124" s="81"/>
      <c r="I124" s="80"/>
    </row>
    <row r="125" spans="1:9" ht="15" x14ac:dyDescent="0.25">
      <c r="A125" s="81"/>
      <c r="B125" s="99"/>
      <c r="C125" s="80"/>
      <c r="D125" s="81"/>
      <c r="E125" s="81"/>
      <c r="F125" s="81"/>
      <c r="G125" s="81"/>
      <c r="H125" s="81"/>
      <c r="I125" s="80"/>
    </row>
    <row r="126" spans="1:9" ht="15" x14ac:dyDescent="0.25">
      <c r="A126" s="81"/>
      <c r="B126" s="99"/>
      <c r="C126" s="80"/>
      <c r="D126" s="81"/>
      <c r="E126" s="81"/>
      <c r="F126" s="81"/>
      <c r="G126" s="81"/>
      <c r="H126" s="81"/>
      <c r="I126" s="80"/>
    </row>
    <row r="127" spans="1:9" ht="15" x14ac:dyDescent="0.25">
      <c r="A127" s="81"/>
      <c r="B127" s="99"/>
      <c r="C127" s="80"/>
      <c r="D127" s="81"/>
      <c r="E127" s="81"/>
      <c r="F127" s="81"/>
      <c r="G127" s="81"/>
      <c r="H127" s="81"/>
      <c r="I127" s="80"/>
    </row>
    <row r="128" spans="1:9" ht="15" x14ac:dyDescent="0.25">
      <c r="A128" s="81"/>
      <c r="B128" s="99"/>
      <c r="C128" s="80"/>
      <c r="D128" s="81"/>
      <c r="E128" s="81"/>
      <c r="F128" s="81"/>
      <c r="G128" s="81"/>
      <c r="H128" s="81"/>
      <c r="I128" s="80"/>
    </row>
    <row r="129" spans="1:9" ht="15" x14ac:dyDescent="0.25">
      <c r="A129" s="81"/>
      <c r="B129" s="99"/>
      <c r="C129" s="80"/>
      <c r="D129" s="81"/>
      <c r="E129" s="81"/>
      <c r="F129" s="81"/>
      <c r="G129" s="81"/>
      <c r="H129" s="81"/>
      <c r="I129" s="80"/>
    </row>
    <row r="130" spans="1:9" ht="15" x14ac:dyDescent="0.25">
      <c r="A130" s="81"/>
      <c r="B130" s="99"/>
      <c r="C130" s="80"/>
      <c r="D130" s="81"/>
      <c r="E130" s="81"/>
      <c r="F130" s="81"/>
      <c r="G130" s="81"/>
      <c r="H130" s="81"/>
      <c r="I130" s="80"/>
    </row>
    <row r="131" spans="1:9" ht="15" x14ac:dyDescent="0.25">
      <c r="A131" s="81"/>
      <c r="B131" s="99"/>
      <c r="C131" s="80"/>
      <c r="D131" s="81"/>
      <c r="E131" s="81"/>
      <c r="F131" s="81"/>
      <c r="G131" s="81"/>
      <c r="H131" s="81"/>
      <c r="I131" s="80"/>
    </row>
    <row r="132" spans="1:9" ht="15" x14ac:dyDescent="0.25">
      <c r="A132" s="81"/>
      <c r="B132" s="99"/>
      <c r="C132" s="80"/>
      <c r="D132" s="81"/>
      <c r="E132" s="81"/>
      <c r="F132" s="81"/>
      <c r="G132" s="81"/>
      <c r="H132" s="81"/>
      <c r="I132" s="80"/>
    </row>
    <row r="133" spans="1:9" ht="15" x14ac:dyDescent="0.25">
      <c r="A133" s="81"/>
      <c r="B133" s="99"/>
      <c r="C133" s="80"/>
      <c r="D133" s="81"/>
      <c r="E133" s="81"/>
      <c r="F133" s="81"/>
      <c r="G133" s="81"/>
      <c r="H133" s="81"/>
      <c r="I133" s="80"/>
    </row>
    <row r="134" spans="1:9" ht="15" x14ac:dyDescent="0.25">
      <c r="A134" s="81"/>
      <c r="B134" s="99"/>
      <c r="C134" s="80"/>
      <c r="D134" s="81"/>
      <c r="E134" s="81"/>
      <c r="F134" s="81"/>
      <c r="G134" s="81"/>
      <c r="H134" s="81"/>
      <c r="I134" s="80"/>
    </row>
    <row r="135" spans="1:9" ht="15" x14ac:dyDescent="0.25">
      <c r="A135" s="81"/>
      <c r="B135" s="99"/>
      <c r="C135" s="80"/>
      <c r="D135" s="81"/>
      <c r="E135" s="81"/>
      <c r="F135" s="81"/>
      <c r="G135" s="81"/>
      <c r="H135" s="81"/>
      <c r="I135" s="80"/>
    </row>
    <row r="136" spans="1:9" ht="15" x14ac:dyDescent="0.25">
      <c r="A136" s="81"/>
      <c r="B136" s="99"/>
      <c r="C136" s="80"/>
      <c r="D136" s="81"/>
      <c r="E136" s="81"/>
      <c r="F136" s="81"/>
      <c r="G136" s="81"/>
      <c r="H136" s="81"/>
      <c r="I136" s="80"/>
    </row>
    <row r="137" spans="1:9" ht="15" x14ac:dyDescent="0.25">
      <c r="A137" s="81"/>
      <c r="B137" s="99"/>
      <c r="C137" s="80"/>
      <c r="D137" s="81"/>
      <c r="E137" s="81"/>
      <c r="F137" s="81"/>
      <c r="G137" s="81"/>
      <c r="H137" s="81"/>
      <c r="I137" s="80"/>
    </row>
    <row r="138" spans="1:9" ht="15" x14ac:dyDescent="0.25">
      <c r="A138" s="81"/>
      <c r="B138" s="99"/>
      <c r="C138" s="80"/>
      <c r="D138" s="81"/>
      <c r="E138" s="81"/>
      <c r="F138" s="81"/>
      <c r="G138" s="81"/>
      <c r="H138" s="81"/>
      <c r="I138" s="80"/>
    </row>
    <row r="139" spans="1:9" ht="15" x14ac:dyDescent="0.25">
      <c r="A139" s="81"/>
      <c r="B139" s="99"/>
      <c r="C139" s="80"/>
      <c r="D139" s="81"/>
      <c r="E139" s="81"/>
      <c r="F139" s="81"/>
      <c r="G139" s="81"/>
      <c r="H139" s="81"/>
      <c r="I139" s="80"/>
    </row>
    <row r="140" spans="1:9" ht="15" x14ac:dyDescent="0.25">
      <c r="A140" s="81"/>
      <c r="B140" s="99"/>
      <c r="C140" s="80"/>
      <c r="D140" s="81"/>
      <c r="E140" s="81"/>
      <c r="F140" s="81"/>
      <c r="G140" s="81"/>
      <c r="H140" s="81"/>
      <c r="I140" s="80"/>
    </row>
    <row r="141" spans="1:9" ht="15" x14ac:dyDescent="0.25">
      <c r="A141" s="81"/>
      <c r="B141" s="99"/>
      <c r="C141" s="80"/>
      <c r="D141" s="81"/>
      <c r="E141" s="81"/>
      <c r="F141" s="81"/>
      <c r="G141" s="81"/>
      <c r="H141" s="81"/>
      <c r="I141" s="80"/>
    </row>
    <row r="142" spans="1:9" ht="15" x14ac:dyDescent="0.25">
      <c r="A142" s="81"/>
      <c r="B142" s="99"/>
      <c r="C142" s="80"/>
      <c r="D142" s="81"/>
      <c r="E142" s="81"/>
      <c r="F142" s="81"/>
      <c r="G142" s="81"/>
      <c r="H142" s="81"/>
      <c r="I142" s="80"/>
    </row>
    <row r="143" spans="1:9" ht="15" x14ac:dyDescent="0.25">
      <c r="A143" s="81"/>
      <c r="B143" s="99"/>
      <c r="C143" s="80"/>
      <c r="D143" s="81"/>
      <c r="E143" s="81"/>
      <c r="F143" s="81"/>
      <c r="G143" s="81"/>
      <c r="H143" s="81"/>
      <c r="I143" s="80"/>
    </row>
    <row r="144" spans="1:9" ht="15" x14ac:dyDescent="0.25">
      <c r="A144" s="81"/>
      <c r="B144" s="99"/>
      <c r="C144" s="80"/>
      <c r="D144" s="81"/>
      <c r="E144" s="81"/>
      <c r="F144" s="81"/>
      <c r="G144" s="81"/>
      <c r="H144" s="81"/>
      <c r="I144" s="80"/>
    </row>
    <row r="145" spans="1:9" ht="15" x14ac:dyDescent="0.25">
      <c r="A145" s="81"/>
      <c r="B145" s="99"/>
      <c r="C145" s="80"/>
      <c r="D145" s="81"/>
      <c r="E145" s="81"/>
      <c r="F145" s="81"/>
      <c r="G145" s="81"/>
      <c r="H145" s="81"/>
      <c r="I145" s="80"/>
    </row>
    <row r="146" spans="1:9" ht="15" x14ac:dyDescent="0.25">
      <c r="A146" s="81"/>
      <c r="B146" s="99"/>
      <c r="C146" s="80"/>
      <c r="D146" s="81"/>
      <c r="E146" s="81"/>
      <c r="F146" s="81"/>
      <c r="G146" s="81"/>
      <c r="H146" s="81"/>
      <c r="I146" s="80"/>
    </row>
    <row r="147" spans="1:9" ht="15" x14ac:dyDescent="0.25">
      <c r="A147" s="81"/>
      <c r="B147" s="99"/>
      <c r="C147" s="80"/>
      <c r="D147" s="81"/>
      <c r="E147" s="81"/>
      <c r="F147" s="81"/>
      <c r="G147" s="81"/>
      <c r="H147" s="81"/>
      <c r="I147" s="80"/>
    </row>
    <row r="148" spans="1:9" ht="15" x14ac:dyDescent="0.25">
      <c r="A148" s="81"/>
      <c r="B148" s="99"/>
      <c r="C148" s="80"/>
      <c r="D148" s="81"/>
      <c r="E148" s="81"/>
      <c r="F148" s="81"/>
      <c r="G148" s="81"/>
      <c r="H148" s="81"/>
      <c r="I148" s="80"/>
    </row>
    <row r="149" spans="1:9" ht="15" x14ac:dyDescent="0.25">
      <c r="A149" s="81"/>
      <c r="B149" s="99"/>
      <c r="C149" s="80"/>
      <c r="D149" s="81"/>
      <c r="E149" s="81"/>
      <c r="F149" s="81"/>
      <c r="G149" s="81"/>
      <c r="H149" s="81"/>
      <c r="I149" s="80"/>
    </row>
    <row r="150" spans="1:9" ht="15" x14ac:dyDescent="0.25">
      <c r="A150" s="81"/>
      <c r="B150" s="99"/>
      <c r="C150" s="80"/>
      <c r="D150" s="81"/>
      <c r="E150" s="81"/>
      <c r="F150" s="81"/>
      <c r="G150" s="81"/>
      <c r="H150" s="81"/>
      <c r="I150" s="80"/>
    </row>
    <row r="151" spans="1:9" ht="15" x14ac:dyDescent="0.25">
      <c r="A151" s="81"/>
      <c r="B151" s="99"/>
      <c r="C151" s="80"/>
      <c r="D151" s="81"/>
      <c r="E151" s="81"/>
      <c r="F151" s="81"/>
      <c r="G151" s="81"/>
      <c r="H151" s="81"/>
      <c r="I151" s="80"/>
    </row>
    <row r="152" spans="1:9" ht="15" x14ac:dyDescent="0.25">
      <c r="A152" s="81"/>
      <c r="B152" s="99"/>
      <c r="C152" s="80"/>
      <c r="D152" s="81"/>
      <c r="E152" s="81"/>
      <c r="F152" s="81"/>
      <c r="G152" s="81"/>
      <c r="H152" s="81"/>
      <c r="I152" s="80"/>
    </row>
    <row r="153" spans="1:9" ht="15" x14ac:dyDescent="0.25">
      <c r="A153" s="81"/>
      <c r="B153" s="99"/>
      <c r="C153" s="80"/>
      <c r="D153" s="81"/>
      <c r="E153" s="81"/>
      <c r="F153" s="81"/>
      <c r="G153" s="81"/>
      <c r="H153" s="81"/>
      <c r="I153" s="80"/>
    </row>
    <row r="154" spans="1:9" ht="15" x14ac:dyDescent="0.25">
      <c r="A154" s="81"/>
      <c r="B154" s="99"/>
      <c r="C154" s="80"/>
      <c r="D154" s="81"/>
      <c r="E154" s="81"/>
      <c r="F154" s="81"/>
      <c r="G154" s="81"/>
      <c r="H154" s="81"/>
      <c r="I154" s="80"/>
    </row>
    <row r="155" spans="1:9" ht="15" x14ac:dyDescent="0.25">
      <c r="A155" s="81"/>
      <c r="B155" s="99"/>
      <c r="C155" s="80"/>
      <c r="D155" s="81"/>
      <c r="E155" s="81"/>
      <c r="F155" s="81"/>
      <c r="G155" s="81"/>
      <c r="H155" s="81"/>
      <c r="I155" s="80"/>
    </row>
    <row r="156" spans="1:9" ht="15" x14ac:dyDescent="0.25">
      <c r="A156" s="81"/>
      <c r="B156" s="99"/>
      <c r="C156" s="80"/>
      <c r="D156" s="81"/>
      <c r="E156" s="81"/>
      <c r="F156" s="81"/>
      <c r="G156" s="81"/>
      <c r="H156" s="81"/>
      <c r="I156" s="80"/>
    </row>
    <row r="157" spans="1:9" ht="15" x14ac:dyDescent="0.25">
      <c r="A157" s="81"/>
      <c r="B157" s="99"/>
      <c r="C157" s="80"/>
      <c r="D157" s="81"/>
      <c r="E157" s="81"/>
      <c r="F157" s="81"/>
      <c r="G157" s="81"/>
      <c r="H157" s="81"/>
      <c r="I157" s="80"/>
    </row>
    <row r="158" spans="1:9" ht="15" x14ac:dyDescent="0.25">
      <c r="A158" s="81"/>
      <c r="B158" s="99"/>
      <c r="C158" s="80"/>
      <c r="D158" s="81"/>
      <c r="E158" s="81"/>
      <c r="F158" s="81"/>
      <c r="G158" s="81"/>
      <c r="H158" s="81"/>
      <c r="I158" s="80"/>
    </row>
    <row r="159" spans="1:9" ht="15" x14ac:dyDescent="0.25">
      <c r="A159" s="81"/>
      <c r="B159" s="99"/>
      <c r="C159" s="80"/>
      <c r="D159" s="81"/>
      <c r="E159" s="81"/>
      <c r="F159" s="81"/>
      <c r="G159" s="81"/>
      <c r="H159" s="81"/>
      <c r="I159" s="80"/>
    </row>
    <row r="160" spans="1:9" ht="15" x14ac:dyDescent="0.25">
      <c r="A160" s="81"/>
      <c r="B160" s="99"/>
      <c r="C160" s="80"/>
      <c r="D160" s="81"/>
      <c r="E160" s="81"/>
      <c r="F160" s="81"/>
      <c r="G160" s="81"/>
      <c r="H160" s="81"/>
      <c r="I160" s="80"/>
    </row>
    <row r="161" spans="1:9" ht="15" x14ac:dyDescent="0.25">
      <c r="A161" s="81"/>
      <c r="B161" s="99"/>
      <c r="C161" s="80"/>
      <c r="D161" s="81"/>
      <c r="E161" s="81"/>
      <c r="F161" s="81"/>
      <c r="G161" s="81"/>
      <c r="H161" s="81"/>
      <c r="I161" s="80"/>
    </row>
    <row r="162" spans="1:9" ht="15" x14ac:dyDescent="0.25">
      <c r="A162" s="81"/>
      <c r="B162" s="99"/>
      <c r="C162" s="80"/>
      <c r="D162" s="81"/>
      <c r="E162" s="81"/>
      <c r="F162" s="81"/>
      <c r="G162" s="81"/>
      <c r="H162" s="81"/>
      <c r="I162" s="80"/>
    </row>
    <row r="163" spans="1:9" ht="15" x14ac:dyDescent="0.25">
      <c r="A163" s="81"/>
      <c r="B163" s="99"/>
      <c r="C163" s="80"/>
      <c r="D163" s="81"/>
      <c r="E163" s="81"/>
      <c r="F163" s="81"/>
      <c r="G163" s="81"/>
      <c r="H163" s="81"/>
      <c r="I163" s="80"/>
    </row>
    <row r="164" spans="1:9" ht="15" x14ac:dyDescent="0.25">
      <c r="A164" s="81"/>
      <c r="B164" s="99"/>
      <c r="C164" s="80"/>
      <c r="D164" s="81"/>
      <c r="E164" s="81"/>
      <c r="F164" s="81"/>
      <c r="G164" s="81"/>
      <c r="H164" s="81"/>
      <c r="I164" s="80"/>
    </row>
    <row r="165" spans="1:9" ht="15" x14ac:dyDescent="0.25">
      <c r="A165" s="81"/>
      <c r="B165" s="99"/>
      <c r="C165" s="80"/>
      <c r="D165" s="81"/>
      <c r="E165" s="81"/>
      <c r="F165" s="81"/>
      <c r="G165" s="81"/>
      <c r="H165" s="81"/>
      <c r="I165" s="80"/>
    </row>
    <row r="166" spans="1:9" ht="15" x14ac:dyDescent="0.25">
      <c r="A166" s="81"/>
      <c r="B166" s="99"/>
      <c r="C166" s="80"/>
      <c r="D166" s="81"/>
      <c r="E166" s="81"/>
      <c r="F166" s="81"/>
      <c r="G166" s="81"/>
      <c r="H166" s="81"/>
      <c r="I166" s="80"/>
    </row>
    <row r="167" spans="1:9" ht="15" x14ac:dyDescent="0.25">
      <c r="A167" s="81"/>
      <c r="B167" s="99"/>
      <c r="C167" s="80"/>
      <c r="D167" s="81"/>
      <c r="E167" s="81"/>
      <c r="F167" s="81"/>
      <c r="G167" s="81"/>
      <c r="H167" s="81"/>
      <c r="I167" s="80"/>
    </row>
    <row r="168" spans="1:9" ht="15" x14ac:dyDescent="0.25">
      <c r="A168" s="81"/>
      <c r="B168" s="99"/>
      <c r="C168" s="80"/>
      <c r="D168" s="81"/>
      <c r="E168" s="81"/>
      <c r="F168" s="81"/>
      <c r="G168" s="81"/>
      <c r="H168" s="81"/>
      <c r="I168" s="80"/>
    </row>
    <row r="169" spans="1:9" ht="15" x14ac:dyDescent="0.25">
      <c r="A169" s="81"/>
      <c r="B169" s="99"/>
      <c r="C169" s="80"/>
      <c r="D169" s="81"/>
      <c r="E169" s="81"/>
      <c r="F169" s="81"/>
      <c r="G169" s="81"/>
      <c r="H169" s="81"/>
      <c r="I169" s="80"/>
    </row>
    <row r="170" spans="1:9" ht="15" x14ac:dyDescent="0.25">
      <c r="A170" s="81"/>
      <c r="B170" s="99"/>
      <c r="C170" s="80"/>
      <c r="D170" s="81"/>
      <c r="E170" s="81"/>
      <c r="F170" s="81"/>
      <c r="G170" s="81"/>
      <c r="H170" s="81"/>
      <c r="I170" s="80"/>
    </row>
    <row r="171" spans="1:9" ht="15" x14ac:dyDescent="0.25">
      <c r="A171" s="81"/>
      <c r="B171" s="99"/>
      <c r="C171" s="80"/>
      <c r="D171" s="81"/>
      <c r="E171" s="81"/>
      <c r="F171" s="81"/>
      <c r="G171" s="81"/>
      <c r="H171" s="81"/>
      <c r="I171" s="80"/>
    </row>
    <row r="172" spans="1:9" ht="15" x14ac:dyDescent="0.25">
      <c r="A172" s="81"/>
      <c r="B172" s="99"/>
      <c r="C172" s="80"/>
      <c r="D172" s="81"/>
      <c r="E172" s="81"/>
      <c r="F172" s="81"/>
      <c r="G172" s="81"/>
      <c r="H172" s="81"/>
      <c r="I172" s="80"/>
    </row>
    <row r="173" spans="1:9" ht="15" x14ac:dyDescent="0.25">
      <c r="A173" s="81"/>
      <c r="B173" s="99"/>
      <c r="C173" s="80"/>
      <c r="D173" s="81"/>
      <c r="E173" s="81"/>
      <c r="F173" s="81"/>
      <c r="G173" s="81"/>
      <c r="H173" s="81"/>
      <c r="I173" s="80"/>
    </row>
    <row r="174" spans="1:9" ht="15" x14ac:dyDescent="0.25">
      <c r="A174" s="81"/>
      <c r="B174" s="99"/>
      <c r="C174" s="80"/>
      <c r="D174" s="81"/>
      <c r="E174" s="81"/>
      <c r="F174" s="81"/>
      <c r="G174" s="81"/>
      <c r="H174" s="81"/>
      <c r="I174" s="80"/>
    </row>
    <row r="175" spans="1:9" ht="15" x14ac:dyDescent="0.25">
      <c r="A175" s="81"/>
      <c r="B175" s="99"/>
      <c r="C175" s="80"/>
      <c r="D175" s="81"/>
      <c r="E175" s="81"/>
      <c r="F175" s="81"/>
      <c r="G175" s="81"/>
      <c r="H175" s="81"/>
      <c r="I175" s="80"/>
    </row>
    <row r="176" spans="1:9" ht="15" x14ac:dyDescent="0.25">
      <c r="A176" s="81"/>
      <c r="B176" s="99"/>
      <c r="C176" s="80"/>
      <c r="D176" s="81"/>
      <c r="E176" s="81"/>
      <c r="F176" s="81"/>
      <c r="G176" s="81"/>
      <c r="H176" s="81"/>
      <c r="I176" s="80"/>
    </row>
    <row r="177" spans="1:9" ht="15" x14ac:dyDescent="0.25">
      <c r="A177" s="81"/>
      <c r="B177" s="99"/>
      <c r="C177" s="80"/>
      <c r="D177" s="81"/>
      <c r="E177" s="81"/>
      <c r="F177" s="81"/>
      <c r="G177" s="81"/>
      <c r="H177" s="81"/>
      <c r="I177" s="80"/>
    </row>
    <row r="178" spans="1:9" ht="15" x14ac:dyDescent="0.25">
      <c r="A178" s="81"/>
      <c r="B178" s="99"/>
      <c r="C178" s="80"/>
      <c r="D178" s="81"/>
      <c r="E178" s="81"/>
      <c r="F178" s="81"/>
      <c r="G178" s="81"/>
      <c r="H178" s="81"/>
      <c r="I178" s="80"/>
    </row>
    <row r="179" spans="1:9" ht="15" x14ac:dyDescent="0.25">
      <c r="A179" s="81"/>
      <c r="B179" s="99"/>
      <c r="C179" s="80"/>
      <c r="D179" s="81"/>
      <c r="E179" s="81"/>
      <c r="F179" s="81"/>
      <c r="G179" s="81"/>
      <c r="H179" s="81"/>
      <c r="I179" s="80"/>
    </row>
    <row r="180" spans="1:9" ht="15" x14ac:dyDescent="0.25">
      <c r="A180" s="81"/>
      <c r="B180" s="99"/>
      <c r="C180" s="80"/>
      <c r="D180" s="81"/>
      <c r="E180" s="81"/>
      <c r="F180" s="81"/>
      <c r="G180" s="81"/>
      <c r="H180" s="81"/>
      <c r="I180" s="80"/>
    </row>
    <row r="181" spans="1:9" ht="15" x14ac:dyDescent="0.25">
      <c r="A181" s="81"/>
      <c r="B181" s="99"/>
      <c r="C181" s="80"/>
      <c r="D181" s="81"/>
      <c r="E181" s="81"/>
      <c r="F181" s="81"/>
      <c r="G181" s="81"/>
      <c r="H181" s="81"/>
      <c r="I181" s="80"/>
    </row>
    <row r="182" spans="1:9" ht="15" x14ac:dyDescent="0.25">
      <c r="A182" s="81"/>
      <c r="B182" s="99"/>
      <c r="C182" s="80"/>
      <c r="D182" s="81"/>
      <c r="E182" s="81"/>
      <c r="F182" s="81"/>
      <c r="G182" s="81"/>
      <c r="H182" s="81"/>
      <c r="I182" s="80"/>
    </row>
    <row r="183" spans="1:9" ht="15" x14ac:dyDescent="0.25">
      <c r="A183" s="81"/>
      <c r="B183" s="99"/>
      <c r="C183" s="80"/>
      <c r="D183" s="81"/>
      <c r="E183" s="81"/>
      <c r="F183" s="81"/>
      <c r="G183" s="81"/>
      <c r="H183" s="81"/>
      <c r="I183" s="80"/>
    </row>
    <row r="184" spans="1:9" ht="15" x14ac:dyDescent="0.25">
      <c r="A184" s="81"/>
      <c r="B184" s="99"/>
      <c r="C184" s="80"/>
      <c r="D184" s="81"/>
      <c r="E184" s="81"/>
      <c r="F184" s="81"/>
      <c r="G184" s="81"/>
      <c r="H184" s="81"/>
      <c r="I184" s="80"/>
    </row>
    <row r="185" spans="1:9" ht="15" x14ac:dyDescent="0.25">
      <c r="A185" s="81"/>
      <c r="B185" s="99"/>
      <c r="C185" s="80"/>
      <c r="D185" s="81"/>
      <c r="E185" s="81"/>
      <c r="F185" s="81"/>
      <c r="G185" s="81"/>
      <c r="H185" s="81"/>
      <c r="I185" s="80"/>
    </row>
    <row r="186" spans="1:9" ht="15" x14ac:dyDescent="0.25">
      <c r="A186" s="81"/>
      <c r="B186" s="99"/>
      <c r="C186" s="80"/>
      <c r="D186" s="81"/>
      <c r="E186" s="81"/>
      <c r="F186" s="81"/>
      <c r="G186" s="81"/>
      <c r="H186" s="81"/>
      <c r="I186" s="80"/>
    </row>
    <row r="187" spans="1:9" ht="15" x14ac:dyDescent="0.25">
      <c r="A187" s="81"/>
      <c r="B187" s="99"/>
      <c r="C187" s="80"/>
      <c r="D187" s="81"/>
      <c r="E187" s="81"/>
      <c r="F187" s="81"/>
      <c r="G187" s="81"/>
      <c r="H187" s="81"/>
      <c r="I187" s="80"/>
    </row>
    <row r="188" spans="1:9" ht="15" x14ac:dyDescent="0.25">
      <c r="A188" s="81"/>
      <c r="B188" s="99"/>
      <c r="C188" s="80"/>
      <c r="D188" s="81"/>
      <c r="E188" s="81"/>
      <c r="F188" s="81"/>
      <c r="G188" s="81"/>
      <c r="H188" s="81"/>
      <c r="I188" s="80"/>
    </row>
    <row r="189" spans="1:9" ht="15" x14ac:dyDescent="0.25">
      <c r="A189" s="81"/>
      <c r="B189" s="99"/>
      <c r="C189" s="80"/>
      <c r="D189" s="81"/>
      <c r="E189" s="81"/>
      <c r="F189" s="81"/>
      <c r="G189" s="81"/>
      <c r="H189" s="81"/>
      <c r="I189" s="80"/>
    </row>
    <row r="190" spans="1:9" ht="15" x14ac:dyDescent="0.25">
      <c r="A190" s="81"/>
      <c r="B190" s="99"/>
      <c r="C190" s="80"/>
      <c r="D190" s="81"/>
      <c r="E190" s="81"/>
      <c r="F190" s="81"/>
      <c r="G190" s="81"/>
      <c r="H190" s="81"/>
      <c r="I190" s="80"/>
    </row>
    <row r="191" spans="1:9" ht="15" x14ac:dyDescent="0.25">
      <c r="A191" s="81"/>
      <c r="B191" s="99"/>
      <c r="C191" s="80"/>
      <c r="D191" s="81"/>
      <c r="E191" s="81"/>
      <c r="F191" s="81"/>
      <c r="G191" s="81"/>
      <c r="H191" s="81"/>
      <c r="I191" s="80"/>
    </row>
    <row r="192" spans="1:9" ht="15" x14ac:dyDescent="0.25">
      <c r="A192" s="81"/>
      <c r="B192" s="99"/>
      <c r="C192" s="80"/>
      <c r="D192" s="81"/>
      <c r="E192" s="81"/>
      <c r="F192" s="81"/>
      <c r="G192" s="81"/>
      <c r="H192" s="81"/>
      <c r="I192" s="80"/>
    </row>
    <row r="193" spans="1:9" ht="15" x14ac:dyDescent="0.25">
      <c r="A193" s="81"/>
      <c r="B193" s="99"/>
      <c r="C193" s="80"/>
      <c r="D193" s="81"/>
      <c r="E193" s="81"/>
      <c r="F193" s="81"/>
      <c r="G193" s="81"/>
      <c r="H193" s="81"/>
      <c r="I193" s="80"/>
    </row>
    <row r="194" spans="1:9" ht="15" x14ac:dyDescent="0.25">
      <c r="A194" s="81"/>
      <c r="B194" s="99"/>
      <c r="C194" s="80"/>
      <c r="D194" s="81"/>
      <c r="E194" s="81"/>
      <c r="F194" s="81"/>
      <c r="G194" s="81"/>
      <c r="H194" s="81"/>
      <c r="I194" s="80"/>
    </row>
    <row r="195" spans="1:9" ht="15" x14ac:dyDescent="0.25">
      <c r="A195" s="81"/>
      <c r="B195" s="99"/>
      <c r="C195" s="80"/>
      <c r="D195" s="81"/>
      <c r="E195" s="81"/>
      <c r="F195" s="81"/>
      <c r="G195" s="81"/>
      <c r="H195" s="81"/>
      <c r="I195" s="80"/>
    </row>
    <row r="196" spans="1:9" ht="15" x14ac:dyDescent="0.25">
      <c r="A196" s="81"/>
      <c r="B196" s="99"/>
      <c r="C196" s="80"/>
      <c r="D196" s="81"/>
      <c r="E196" s="81"/>
      <c r="F196" s="81"/>
      <c r="G196" s="81"/>
      <c r="H196" s="81"/>
      <c r="I196" s="80"/>
    </row>
    <row r="197" spans="1:9" ht="15" x14ac:dyDescent="0.25">
      <c r="A197" s="81"/>
      <c r="B197" s="99"/>
      <c r="C197" s="80"/>
      <c r="D197" s="81"/>
      <c r="E197" s="81"/>
      <c r="F197" s="81"/>
      <c r="G197" s="81"/>
      <c r="H197" s="81"/>
      <c r="I197" s="80"/>
    </row>
    <row r="198" spans="1:9" ht="15" x14ac:dyDescent="0.25">
      <c r="A198" s="81"/>
      <c r="B198" s="99"/>
      <c r="C198" s="80"/>
      <c r="D198" s="81"/>
      <c r="E198" s="81"/>
      <c r="F198" s="81"/>
      <c r="G198" s="81"/>
      <c r="H198" s="81"/>
      <c r="I198" s="80"/>
    </row>
    <row r="199" spans="1:9" ht="15" x14ac:dyDescent="0.25">
      <c r="A199" s="81"/>
      <c r="B199" s="99"/>
      <c r="C199" s="80"/>
      <c r="D199" s="81"/>
      <c r="E199" s="81"/>
      <c r="F199" s="81"/>
      <c r="G199" s="81"/>
      <c r="H199" s="81"/>
      <c r="I199" s="80"/>
    </row>
    <row r="200" spans="1:9" ht="15" x14ac:dyDescent="0.25">
      <c r="A200" s="81"/>
      <c r="B200" s="99"/>
      <c r="C200" s="80"/>
      <c r="D200" s="81"/>
      <c r="E200" s="81"/>
      <c r="F200" s="81"/>
      <c r="G200" s="81"/>
      <c r="H200" s="81"/>
      <c r="I200" s="80"/>
    </row>
    <row r="201" spans="1:9" ht="15" x14ac:dyDescent="0.25">
      <c r="A201" s="81"/>
      <c r="B201" s="99"/>
      <c r="C201" s="80"/>
      <c r="D201" s="81"/>
      <c r="E201" s="81"/>
      <c r="F201" s="81"/>
      <c r="G201" s="81"/>
      <c r="H201" s="81"/>
      <c r="I201" s="80"/>
    </row>
    <row r="202" spans="1:9" ht="15" x14ac:dyDescent="0.25">
      <c r="A202" s="81"/>
      <c r="B202" s="99"/>
      <c r="C202" s="80"/>
      <c r="D202" s="81"/>
      <c r="E202" s="81"/>
      <c r="F202" s="81"/>
      <c r="G202" s="81"/>
      <c r="H202" s="81"/>
      <c r="I202" s="80"/>
    </row>
    <row r="203" spans="1:9" ht="15" x14ac:dyDescent="0.25">
      <c r="A203" s="81"/>
      <c r="B203" s="99"/>
      <c r="C203" s="80"/>
      <c r="D203" s="81"/>
      <c r="E203" s="81"/>
      <c r="F203" s="81"/>
      <c r="G203" s="81"/>
      <c r="H203" s="81"/>
      <c r="I203" s="80"/>
    </row>
    <row r="204" spans="1:9" ht="15" x14ac:dyDescent="0.25">
      <c r="A204" s="81"/>
      <c r="B204" s="99"/>
      <c r="C204" s="80"/>
      <c r="D204" s="81"/>
      <c r="E204" s="81"/>
      <c r="F204" s="81"/>
      <c r="G204" s="81"/>
      <c r="H204" s="81"/>
      <c r="I204" s="80"/>
    </row>
    <row r="205" spans="1:9" ht="15" x14ac:dyDescent="0.25">
      <c r="A205" s="81"/>
      <c r="B205" s="99"/>
      <c r="C205" s="80"/>
      <c r="D205" s="81"/>
      <c r="E205" s="81"/>
      <c r="F205" s="81"/>
      <c r="G205" s="81"/>
      <c r="H205" s="81"/>
      <c r="I205" s="80"/>
    </row>
    <row r="206" spans="1:9" ht="15" x14ac:dyDescent="0.25">
      <c r="A206" s="81"/>
      <c r="B206" s="99"/>
      <c r="C206" s="80"/>
      <c r="D206" s="81"/>
      <c r="E206" s="81"/>
      <c r="F206" s="81"/>
      <c r="G206" s="81"/>
      <c r="H206" s="81"/>
      <c r="I206" s="80"/>
    </row>
    <row r="207" spans="1:9" ht="15" x14ac:dyDescent="0.25">
      <c r="A207" s="81"/>
      <c r="B207" s="99"/>
      <c r="C207" s="80"/>
      <c r="D207" s="81"/>
      <c r="E207" s="81"/>
      <c r="F207" s="81"/>
      <c r="G207" s="81"/>
      <c r="H207" s="81"/>
      <c r="I207" s="80"/>
    </row>
    <row r="208" spans="1:9" ht="15" x14ac:dyDescent="0.25">
      <c r="A208" s="81"/>
      <c r="B208" s="99"/>
      <c r="C208" s="80"/>
      <c r="D208" s="81"/>
      <c r="E208" s="81"/>
      <c r="F208" s="81"/>
      <c r="G208" s="81"/>
      <c r="H208" s="81"/>
      <c r="I208" s="80"/>
    </row>
    <row r="209" spans="1:9" ht="15" x14ac:dyDescent="0.25">
      <c r="A209" s="81"/>
      <c r="B209" s="99"/>
      <c r="C209" s="80"/>
      <c r="D209" s="81"/>
      <c r="E209" s="81"/>
      <c r="F209" s="81"/>
      <c r="G209" s="81"/>
      <c r="H209" s="81"/>
      <c r="I209" s="80"/>
    </row>
    <row r="210" spans="1:9" ht="15" x14ac:dyDescent="0.25">
      <c r="A210" s="81"/>
      <c r="B210" s="99"/>
      <c r="C210" s="80"/>
      <c r="D210" s="81"/>
      <c r="E210" s="81"/>
      <c r="F210" s="81"/>
      <c r="G210" s="81"/>
      <c r="H210" s="81"/>
      <c r="I210" s="80"/>
    </row>
    <row r="211" spans="1:9" ht="15" x14ac:dyDescent="0.25">
      <c r="A211" s="81"/>
      <c r="B211" s="99"/>
      <c r="C211" s="80"/>
      <c r="D211" s="81"/>
      <c r="E211" s="81"/>
      <c r="F211" s="81"/>
      <c r="G211" s="81"/>
      <c r="H211" s="81"/>
      <c r="I211" s="80"/>
    </row>
    <row r="212" spans="1:9" ht="15" x14ac:dyDescent="0.25">
      <c r="A212" s="81"/>
      <c r="B212" s="99"/>
      <c r="C212" s="80"/>
      <c r="D212" s="81"/>
      <c r="E212" s="81"/>
      <c r="F212" s="81"/>
      <c r="G212" s="81"/>
      <c r="H212" s="81"/>
      <c r="I212" s="80"/>
    </row>
    <row r="213" spans="1:9" ht="15" x14ac:dyDescent="0.25">
      <c r="A213" s="81"/>
      <c r="B213" s="99"/>
      <c r="C213" s="80"/>
      <c r="D213" s="81"/>
      <c r="E213" s="81"/>
      <c r="F213" s="81"/>
      <c r="G213" s="81"/>
      <c r="H213" s="81"/>
      <c r="I213" s="80"/>
    </row>
    <row r="214" spans="1:9" ht="15" x14ac:dyDescent="0.25">
      <c r="A214" s="81"/>
      <c r="B214" s="99"/>
      <c r="C214" s="80"/>
      <c r="D214" s="81"/>
      <c r="E214" s="81"/>
      <c r="F214" s="81"/>
      <c r="G214" s="81"/>
      <c r="H214" s="81"/>
      <c r="I214" s="80"/>
    </row>
    <row r="215" spans="1:9" ht="15" x14ac:dyDescent="0.25">
      <c r="A215" s="81"/>
      <c r="B215" s="99"/>
      <c r="C215" s="80"/>
      <c r="D215" s="81"/>
      <c r="E215" s="81"/>
      <c r="F215" s="81"/>
      <c r="G215" s="81"/>
      <c r="H215" s="81"/>
      <c r="I215" s="80"/>
    </row>
    <row r="216" spans="1:9" ht="15" x14ac:dyDescent="0.25">
      <c r="A216" s="81"/>
      <c r="B216" s="99"/>
      <c r="C216" s="80"/>
      <c r="D216" s="81"/>
      <c r="E216" s="81"/>
      <c r="F216" s="81"/>
      <c r="G216" s="81"/>
      <c r="H216" s="81"/>
      <c r="I216" s="80"/>
    </row>
    <row r="217" spans="1:9" ht="15" x14ac:dyDescent="0.25">
      <c r="A217" s="81"/>
      <c r="B217" s="99"/>
      <c r="C217" s="80"/>
      <c r="D217" s="81"/>
      <c r="E217" s="81"/>
      <c r="F217" s="81"/>
      <c r="G217" s="81"/>
      <c r="H217" s="81"/>
      <c r="I217" s="80"/>
    </row>
    <row r="218" spans="1:9" ht="15" x14ac:dyDescent="0.25">
      <c r="A218" s="81"/>
      <c r="B218" s="99"/>
      <c r="C218" s="80"/>
      <c r="D218" s="81"/>
      <c r="E218" s="81"/>
      <c r="F218" s="81"/>
      <c r="G218" s="81"/>
      <c r="H218" s="81"/>
      <c r="I218" s="80"/>
    </row>
    <row r="219" spans="1:9" ht="15" x14ac:dyDescent="0.25">
      <c r="A219" s="81"/>
      <c r="B219" s="99"/>
      <c r="C219" s="80"/>
      <c r="D219" s="81"/>
      <c r="E219" s="81"/>
      <c r="F219" s="81"/>
      <c r="G219" s="81"/>
      <c r="H219" s="81"/>
      <c r="I219" s="80"/>
    </row>
    <row r="220" spans="1:9" ht="15" x14ac:dyDescent="0.25">
      <c r="A220" s="81"/>
      <c r="B220" s="99"/>
      <c r="C220" s="80"/>
      <c r="D220" s="81"/>
      <c r="E220" s="81"/>
      <c r="F220" s="81"/>
      <c r="G220" s="81"/>
      <c r="H220" s="81"/>
      <c r="I220" s="80"/>
    </row>
    <row r="221" spans="1:9" ht="15" x14ac:dyDescent="0.25">
      <c r="A221" s="81"/>
      <c r="B221" s="99"/>
      <c r="C221" s="80"/>
      <c r="D221" s="81"/>
      <c r="E221" s="81"/>
      <c r="F221" s="81"/>
      <c r="G221" s="81"/>
      <c r="H221" s="81"/>
      <c r="I221" s="80"/>
    </row>
    <row r="222" spans="1:9" ht="15" x14ac:dyDescent="0.25">
      <c r="A222" s="81"/>
      <c r="B222" s="99"/>
      <c r="C222" s="80"/>
      <c r="D222" s="81"/>
      <c r="E222" s="81"/>
      <c r="F222" s="81"/>
      <c r="G222" s="81"/>
      <c r="H222" s="81"/>
      <c r="I222" s="80"/>
    </row>
    <row r="223" spans="1:9" ht="15" x14ac:dyDescent="0.25">
      <c r="A223" s="81"/>
      <c r="B223" s="99"/>
      <c r="C223" s="80"/>
      <c r="D223" s="81"/>
      <c r="E223" s="81"/>
      <c r="F223" s="81"/>
      <c r="G223" s="81"/>
      <c r="H223" s="81"/>
      <c r="I223" s="80"/>
    </row>
    <row r="224" spans="1:9" ht="15" x14ac:dyDescent="0.25">
      <c r="A224" s="81"/>
      <c r="B224" s="99"/>
      <c r="C224" s="80"/>
      <c r="D224" s="81"/>
      <c r="E224" s="81"/>
      <c r="F224" s="81"/>
      <c r="G224" s="81"/>
      <c r="H224" s="81"/>
      <c r="I224" s="80"/>
    </row>
    <row r="225" spans="1:9" ht="15" x14ac:dyDescent="0.25">
      <c r="A225" s="81"/>
      <c r="B225" s="99"/>
      <c r="C225" s="80"/>
      <c r="D225" s="81"/>
      <c r="E225" s="81"/>
      <c r="F225" s="81"/>
      <c r="G225" s="81"/>
      <c r="H225" s="81"/>
      <c r="I225" s="80"/>
    </row>
    <row r="226" spans="1:9" ht="15" x14ac:dyDescent="0.25">
      <c r="A226" s="81"/>
      <c r="B226" s="99"/>
      <c r="C226" s="80"/>
      <c r="D226" s="81"/>
      <c r="E226" s="81"/>
      <c r="F226" s="81"/>
      <c r="G226" s="81"/>
      <c r="H226" s="81"/>
      <c r="I226" s="80"/>
    </row>
    <row r="227" spans="1:9" ht="15" x14ac:dyDescent="0.25">
      <c r="A227" s="81"/>
      <c r="B227" s="99"/>
      <c r="C227" s="80"/>
      <c r="D227" s="81"/>
      <c r="E227" s="81"/>
      <c r="F227" s="81"/>
      <c r="G227" s="81"/>
      <c r="H227" s="81"/>
      <c r="I227" s="80"/>
    </row>
    <row r="228" spans="1:9" ht="15" x14ac:dyDescent="0.25">
      <c r="A228" s="81"/>
      <c r="B228" s="99"/>
      <c r="C228" s="80"/>
      <c r="D228" s="81"/>
      <c r="E228" s="81"/>
      <c r="F228" s="81"/>
      <c r="G228" s="81"/>
      <c r="H228" s="81"/>
      <c r="I228" s="80"/>
    </row>
    <row r="229" spans="1:9" ht="15" x14ac:dyDescent="0.25">
      <c r="A229" s="81"/>
      <c r="B229" s="99"/>
      <c r="C229" s="80"/>
      <c r="D229" s="81"/>
      <c r="E229" s="81"/>
      <c r="F229" s="81"/>
      <c r="G229" s="81"/>
      <c r="H229" s="81"/>
      <c r="I229" s="80"/>
    </row>
    <row r="230" spans="1:9" ht="15" x14ac:dyDescent="0.25">
      <c r="A230" s="81"/>
      <c r="B230" s="99"/>
      <c r="C230" s="80"/>
      <c r="D230" s="81"/>
      <c r="E230" s="81"/>
      <c r="F230" s="81"/>
      <c r="G230" s="81"/>
      <c r="H230" s="81"/>
      <c r="I230" s="80"/>
    </row>
    <row r="231" spans="1:9" ht="15" x14ac:dyDescent="0.25">
      <c r="A231" s="81"/>
      <c r="B231" s="99"/>
      <c r="C231" s="80"/>
      <c r="D231" s="81"/>
      <c r="E231" s="81"/>
      <c r="F231" s="81"/>
      <c r="G231" s="81"/>
      <c r="H231" s="81"/>
      <c r="I231" s="80"/>
    </row>
    <row r="232" spans="1:9" ht="15" x14ac:dyDescent="0.25">
      <c r="A232" s="81"/>
      <c r="B232" s="99"/>
      <c r="C232" s="80"/>
      <c r="D232" s="81"/>
      <c r="E232" s="81"/>
      <c r="F232" s="81"/>
      <c r="G232" s="81"/>
      <c r="H232" s="81"/>
      <c r="I232" s="80"/>
    </row>
    <row r="233" spans="1:9" ht="15" x14ac:dyDescent="0.25">
      <c r="A233" s="81"/>
      <c r="B233" s="99"/>
      <c r="C233" s="80"/>
      <c r="D233" s="81"/>
      <c r="E233" s="81"/>
      <c r="F233" s="81"/>
      <c r="G233" s="81"/>
      <c r="H233" s="81"/>
      <c r="I233" s="80"/>
    </row>
    <row r="234" spans="1:9" ht="15" x14ac:dyDescent="0.25">
      <c r="A234" s="81"/>
      <c r="B234" s="99"/>
      <c r="C234" s="80"/>
      <c r="D234" s="81"/>
      <c r="E234" s="81"/>
      <c r="F234" s="81"/>
      <c r="G234" s="81"/>
      <c r="H234" s="81"/>
      <c r="I234" s="80"/>
    </row>
    <row r="235" spans="1:9" ht="15" x14ac:dyDescent="0.25">
      <c r="A235" s="81"/>
      <c r="B235" s="99"/>
      <c r="C235" s="80"/>
      <c r="D235" s="81"/>
      <c r="E235" s="81"/>
      <c r="F235" s="81"/>
      <c r="G235" s="81"/>
      <c r="H235" s="81"/>
      <c r="I235" s="80"/>
    </row>
    <row r="236" spans="1:9" ht="15" x14ac:dyDescent="0.25">
      <c r="A236" s="81"/>
      <c r="B236" s="99"/>
      <c r="C236" s="80"/>
      <c r="D236" s="81"/>
      <c r="E236" s="81"/>
      <c r="F236" s="81"/>
      <c r="G236" s="81"/>
      <c r="H236" s="81"/>
      <c r="I236" s="80"/>
    </row>
    <row r="237" spans="1:9" ht="15" x14ac:dyDescent="0.25">
      <c r="A237" s="81"/>
      <c r="B237" s="99"/>
      <c r="C237" s="80"/>
      <c r="D237" s="81"/>
      <c r="E237" s="81"/>
      <c r="F237" s="81"/>
      <c r="G237" s="81"/>
      <c r="H237" s="81"/>
      <c r="I237" s="80"/>
    </row>
    <row r="238" spans="1:9" ht="15" x14ac:dyDescent="0.25">
      <c r="A238" s="81"/>
      <c r="B238" s="99"/>
      <c r="C238" s="80"/>
      <c r="D238" s="81"/>
      <c r="E238" s="81"/>
      <c r="F238" s="81"/>
      <c r="G238" s="81"/>
      <c r="H238" s="81"/>
      <c r="I238" s="80"/>
    </row>
    <row r="239" spans="1:9" ht="15" x14ac:dyDescent="0.25">
      <c r="A239" s="81"/>
      <c r="B239" s="99"/>
      <c r="C239" s="80"/>
      <c r="D239" s="81"/>
      <c r="E239" s="81"/>
      <c r="F239" s="81"/>
      <c r="G239" s="81"/>
      <c r="H239" s="81"/>
      <c r="I239" s="80"/>
    </row>
    <row r="240" spans="1:9" ht="15" x14ac:dyDescent="0.25">
      <c r="A240" s="81"/>
      <c r="B240" s="99"/>
      <c r="C240" s="80"/>
      <c r="D240" s="81"/>
      <c r="E240" s="81"/>
      <c r="F240" s="81"/>
      <c r="G240" s="81"/>
      <c r="H240" s="81"/>
      <c r="I240" s="80"/>
    </row>
    <row r="241" spans="1:9" ht="15" x14ac:dyDescent="0.25">
      <c r="A241" s="81"/>
      <c r="B241" s="99"/>
      <c r="C241" s="80"/>
      <c r="D241" s="81"/>
      <c r="E241" s="81"/>
      <c r="F241" s="81"/>
      <c r="G241" s="81"/>
      <c r="H241" s="81"/>
      <c r="I241" s="80"/>
    </row>
    <row r="242" spans="1:9" ht="15" x14ac:dyDescent="0.25">
      <c r="A242" s="81"/>
      <c r="B242" s="99"/>
      <c r="C242" s="80"/>
      <c r="D242" s="81"/>
      <c r="E242" s="81"/>
      <c r="F242" s="81"/>
      <c r="G242" s="81"/>
      <c r="H242" s="81"/>
      <c r="I242" s="80"/>
    </row>
    <row r="243" spans="1:9" ht="15" x14ac:dyDescent="0.25">
      <c r="A243" s="81"/>
      <c r="B243" s="99"/>
      <c r="C243" s="80"/>
      <c r="D243" s="81"/>
      <c r="E243" s="81"/>
      <c r="F243" s="81"/>
      <c r="G243" s="81"/>
      <c r="H243" s="81"/>
      <c r="I243" s="80"/>
    </row>
    <row r="244" spans="1:9" ht="15" x14ac:dyDescent="0.25">
      <c r="A244" s="81"/>
      <c r="B244" s="99"/>
      <c r="C244" s="80"/>
      <c r="D244" s="81"/>
      <c r="E244" s="81"/>
      <c r="F244" s="81"/>
      <c r="G244" s="81"/>
      <c r="H244" s="81"/>
      <c r="I244" s="80"/>
    </row>
    <row r="245" spans="1:9" ht="15" x14ac:dyDescent="0.25">
      <c r="A245" s="81"/>
      <c r="B245" s="99"/>
      <c r="C245" s="80"/>
      <c r="D245" s="81"/>
      <c r="E245" s="81"/>
      <c r="F245" s="81"/>
      <c r="G245" s="81"/>
      <c r="H245" s="81"/>
      <c r="I245" s="80"/>
    </row>
    <row r="246" spans="1:9" ht="15" x14ac:dyDescent="0.25">
      <c r="A246" s="81"/>
      <c r="B246" s="99"/>
      <c r="C246" s="80"/>
      <c r="D246" s="81"/>
      <c r="E246" s="81"/>
      <c r="F246" s="81"/>
      <c r="G246" s="81"/>
      <c r="H246" s="81"/>
      <c r="I246" s="80"/>
    </row>
    <row r="247" spans="1:9" ht="15" x14ac:dyDescent="0.25">
      <c r="A247" s="81"/>
      <c r="B247" s="99"/>
      <c r="C247" s="80"/>
      <c r="D247" s="81"/>
      <c r="E247" s="81"/>
      <c r="F247" s="81"/>
      <c r="G247" s="81"/>
      <c r="H247" s="81"/>
      <c r="I247" s="80"/>
    </row>
    <row r="248" spans="1:9" ht="15" x14ac:dyDescent="0.25">
      <c r="A248" s="81"/>
      <c r="B248" s="99"/>
      <c r="C248" s="80"/>
      <c r="D248" s="81"/>
      <c r="E248" s="81"/>
      <c r="F248" s="81"/>
      <c r="G248" s="81"/>
      <c r="H248" s="81"/>
      <c r="I248" s="80"/>
    </row>
    <row r="249" spans="1:9" ht="15" x14ac:dyDescent="0.25">
      <c r="A249" s="81"/>
      <c r="B249" s="99"/>
      <c r="C249" s="80"/>
      <c r="D249" s="81"/>
      <c r="E249" s="81"/>
      <c r="F249" s="81"/>
      <c r="G249" s="81"/>
      <c r="H249" s="81"/>
      <c r="I249" s="80"/>
    </row>
    <row r="250" spans="1:9" ht="15" x14ac:dyDescent="0.25">
      <c r="A250" s="81"/>
      <c r="B250" s="99"/>
      <c r="C250" s="80"/>
      <c r="D250" s="81"/>
      <c r="E250" s="81"/>
      <c r="F250" s="81"/>
      <c r="G250" s="81"/>
      <c r="H250" s="81"/>
      <c r="I250" s="80"/>
    </row>
    <row r="251" spans="1:9" ht="15" x14ac:dyDescent="0.25">
      <c r="A251" s="81"/>
      <c r="B251" s="99"/>
      <c r="C251" s="80"/>
      <c r="D251" s="81"/>
      <c r="E251" s="81"/>
      <c r="F251" s="81"/>
      <c r="G251" s="81"/>
      <c r="H251" s="81"/>
      <c r="I251" s="80"/>
    </row>
    <row r="252" spans="1:9" ht="15" x14ac:dyDescent="0.25">
      <c r="A252" s="81"/>
      <c r="B252" s="99"/>
      <c r="C252" s="80"/>
      <c r="D252" s="81"/>
      <c r="E252" s="81"/>
      <c r="F252" s="81"/>
      <c r="G252" s="81"/>
      <c r="H252" s="81"/>
      <c r="I252" s="80"/>
    </row>
    <row r="253" spans="1:9" ht="15" x14ac:dyDescent="0.25">
      <c r="A253" s="81"/>
      <c r="B253" s="99"/>
      <c r="C253" s="80"/>
      <c r="D253" s="81"/>
      <c r="E253" s="81"/>
      <c r="F253" s="81"/>
      <c r="G253" s="81"/>
      <c r="H253" s="81"/>
      <c r="I253" s="80"/>
    </row>
    <row r="254" spans="1:9" ht="15" x14ac:dyDescent="0.25">
      <c r="A254" s="81"/>
      <c r="B254" s="99"/>
      <c r="C254" s="80"/>
      <c r="D254" s="81"/>
      <c r="E254" s="81"/>
      <c r="F254" s="81"/>
      <c r="G254" s="81"/>
      <c r="H254" s="81"/>
      <c r="I254" s="80"/>
    </row>
    <row r="255" spans="1:9" ht="15" x14ac:dyDescent="0.25">
      <c r="A255" s="81"/>
      <c r="B255" s="99"/>
      <c r="C255" s="80"/>
      <c r="D255" s="81"/>
      <c r="E255" s="81"/>
      <c r="F255" s="81"/>
      <c r="G255" s="81"/>
      <c r="H255" s="81"/>
      <c r="I255" s="80"/>
    </row>
    <row r="256" spans="1:9" ht="15" x14ac:dyDescent="0.25">
      <c r="A256" s="81"/>
      <c r="B256" s="99"/>
      <c r="C256" s="80"/>
      <c r="D256" s="81"/>
      <c r="E256" s="81"/>
      <c r="F256" s="81"/>
      <c r="G256" s="81"/>
      <c r="H256" s="81"/>
      <c r="I256" s="80"/>
    </row>
    <row r="257" spans="1:9" ht="15" x14ac:dyDescent="0.25">
      <c r="A257" s="81"/>
      <c r="B257" s="99"/>
      <c r="C257" s="80"/>
      <c r="D257" s="81"/>
      <c r="E257" s="81"/>
      <c r="F257" s="81"/>
      <c r="G257" s="81"/>
      <c r="H257" s="81"/>
      <c r="I257" s="80"/>
    </row>
    <row r="258" spans="1:9" ht="15" x14ac:dyDescent="0.25">
      <c r="A258" s="81"/>
      <c r="B258" s="99"/>
      <c r="C258" s="80"/>
      <c r="D258" s="81"/>
      <c r="E258" s="81"/>
      <c r="F258" s="81"/>
      <c r="G258" s="81"/>
      <c r="H258" s="81"/>
      <c r="I258" s="80"/>
    </row>
    <row r="259" spans="1:9" ht="15" x14ac:dyDescent="0.25">
      <c r="A259" s="81"/>
      <c r="B259" s="99"/>
      <c r="C259" s="80"/>
      <c r="D259" s="81"/>
      <c r="E259" s="81"/>
      <c r="F259" s="81"/>
      <c r="G259" s="81"/>
      <c r="H259" s="81"/>
      <c r="I259" s="80"/>
    </row>
    <row r="260" spans="1:9" ht="15" x14ac:dyDescent="0.25">
      <c r="A260" s="81"/>
      <c r="B260" s="99"/>
      <c r="C260" s="80"/>
      <c r="D260" s="81"/>
      <c r="E260" s="81"/>
      <c r="F260" s="81"/>
      <c r="G260" s="81"/>
      <c r="H260" s="81"/>
      <c r="I260" s="80"/>
    </row>
    <row r="261" spans="1:9" ht="15" x14ac:dyDescent="0.25">
      <c r="A261" s="81"/>
      <c r="B261" s="99"/>
      <c r="C261" s="80"/>
      <c r="D261" s="81"/>
      <c r="E261" s="81"/>
      <c r="F261" s="81"/>
      <c r="G261" s="81"/>
      <c r="H261" s="81"/>
      <c r="I261" s="80"/>
    </row>
    <row r="262" spans="1:9" ht="15" x14ac:dyDescent="0.25">
      <c r="A262" s="81"/>
      <c r="B262" s="99"/>
      <c r="C262" s="80"/>
      <c r="D262" s="81"/>
      <c r="E262" s="81"/>
      <c r="F262" s="81"/>
      <c r="G262" s="81"/>
      <c r="H262" s="81"/>
      <c r="I262" s="80"/>
    </row>
    <row r="263" spans="1:9" ht="15" x14ac:dyDescent="0.25">
      <c r="A263" s="81"/>
      <c r="B263" s="99"/>
      <c r="C263" s="80"/>
      <c r="D263" s="81"/>
      <c r="E263" s="81"/>
      <c r="F263" s="81"/>
      <c r="G263" s="81"/>
      <c r="H263" s="81"/>
      <c r="I263" s="80"/>
    </row>
    <row r="264" spans="1:9" ht="15" x14ac:dyDescent="0.25">
      <c r="A264" s="81"/>
      <c r="B264" s="99"/>
      <c r="C264" s="80"/>
      <c r="D264" s="81"/>
      <c r="E264" s="81"/>
      <c r="F264" s="81"/>
      <c r="G264" s="81"/>
      <c r="H264" s="81"/>
      <c r="I264" s="80"/>
    </row>
    <row r="265" spans="1:9" ht="15" x14ac:dyDescent="0.25">
      <c r="A265" s="81"/>
      <c r="B265" s="99"/>
      <c r="C265" s="80"/>
      <c r="D265" s="81"/>
      <c r="E265" s="81"/>
      <c r="F265" s="81"/>
      <c r="G265" s="81"/>
      <c r="H265" s="81"/>
      <c r="I265" s="80"/>
    </row>
    <row r="266" spans="1:9" ht="15" x14ac:dyDescent="0.25">
      <c r="A266" s="81"/>
      <c r="B266" s="99"/>
      <c r="C266" s="80"/>
      <c r="D266" s="81"/>
      <c r="E266" s="81"/>
      <c r="F266" s="81"/>
      <c r="G266" s="81"/>
      <c r="H266" s="81"/>
      <c r="I266" s="80"/>
    </row>
    <row r="267" spans="1:9" ht="15" x14ac:dyDescent="0.25">
      <c r="A267" s="81"/>
      <c r="B267" s="99"/>
      <c r="C267" s="80"/>
      <c r="D267" s="81"/>
      <c r="E267" s="81"/>
      <c r="F267" s="81"/>
      <c r="G267" s="81"/>
      <c r="H267" s="81"/>
      <c r="I267" s="80"/>
    </row>
    <row r="268" spans="1:9" ht="15" x14ac:dyDescent="0.25">
      <c r="A268" s="81"/>
      <c r="B268" s="99"/>
      <c r="C268" s="80"/>
      <c r="D268" s="81"/>
      <c r="E268" s="81"/>
      <c r="F268" s="81"/>
      <c r="G268" s="81"/>
      <c r="H268" s="81"/>
      <c r="I268" s="80"/>
    </row>
    <row r="269" spans="1:9" ht="15" x14ac:dyDescent="0.25">
      <c r="A269" s="81"/>
      <c r="B269" s="99"/>
      <c r="C269" s="80"/>
      <c r="D269" s="81"/>
      <c r="E269" s="81"/>
      <c r="F269" s="81"/>
      <c r="G269" s="81"/>
      <c r="H269" s="81"/>
      <c r="I269" s="80"/>
    </row>
    <row r="270" spans="1:9" ht="15" x14ac:dyDescent="0.25">
      <c r="A270" s="81"/>
      <c r="B270" s="99"/>
      <c r="C270" s="80"/>
      <c r="D270" s="81"/>
      <c r="E270" s="81"/>
      <c r="F270" s="81"/>
      <c r="G270" s="81"/>
      <c r="H270" s="81"/>
      <c r="I270" s="80"/>
    </row>
    <row r="271" spans="1:9" ht="15" x14ac:dyDescent="0.25">
      <c r="A271" s="81"/>
      <c r="B271" s="99"/>
      <c r="C271" s="80"/>
      <c r="D271" s="81"/>
      <c r="E271" s="81"/>
      <c r="F271" s="81"/>
      <c r="G271" s="81"/>
      <c r="H271" s="81"/>
      <c r="I271" s="80"/>
    </row>
    <row r="272" spans="1:9" ht="15" x14ac:dyDescent="0.25">
      <c r="A272" s="81"/>
      <c r="B272" s="99"/>
      <c r="C272" s="80"/>
      <c r="D272" s="81"/>
      <c r="E272" s="81"/>
      <c r="F272" s="81"/>
      <c r="G272" s="81"/>
      <c r="H272" s="81"/>
      <c r="I272" s="80"/>
    </row>
    <row r="273" spans="1:9" ht="15" x14ac:dyDescent="0.25">
      <c r="A273" s="81"/>
      <c r="B273" s="99"/>
      <c r="C273" s="80"/>
      <c r="D273" s="81"/>
      <c r="E273" s="81"/>
      <c r="F273" s="81"/>
      <c r="G273" s="81"/>
      <c r="H273" s="81"/>
      <c r="I273" s="80"/>
    </row>
    <row r="274" spans="1:9" ht="15" x14ac:dyDescent="0.25">
      <c r="A274" s="81"/>
      <c r="B274" s="99"/>
      <c r="C274" s="80"/>
      <c r="D274" s="81"/>
      <c r="E274" s="81"/>
      <c r="F274" s="81"/>
      <c r="G274" s="81"/>
      <c r="H274" s="81"/>
      <c r="I274" s="80"/>
    </row>
  </sheetData>
  <mergeCells count="2">
    <mergeCell ref="A2:I2"/>
    <mergeCell ref="AO13:AR1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12</vt:i4>
      </vt:variant>
    </vt:vector>
  </HeadingPairs>
  <TitlesOfParts>
    <vt:vector size="19" baseType="lpstr">
      <vt:lpstr>Catalogo</vt:lpstr>
      <vt:lpstr>Database</vt:lpstr>
      <vt:lpstr>Consolidado</vt:lpstr>
      <vt:lpstr>NuevoConsolidado</vt:lpstr>
      <vt:lpstr>Detalle</vt:lpstr>
      <vt:lpstr>212314</vt:lpstr>
      <vt:lpstr>202113</vt:lpstr>
      <vt:lpstr>'202113'!Área_de_extracción</vt:lpstr>
      <vt:lpstr>'212314'!Área_de_extracción</vt:lpstr>
      <vt:lpstr>Detalle!Área_de_extracción</vt:lpstr>
      <vt:lpstr>NuevoConsolidado!Área_de_extracción</vt:lpstr>
      <vt:lpstr>Consolidado!Área_de_impresión</vt:lpstr>
      <vt:lpstr>NuevoConsolidado!Área_de_impresión</vt:lpstr>
      <vt:lpstr>'202113'!Criterios</vt:lpstr>
      <vt:lpstr>'212314'!Criterios</vt:lpstr>
      <vt:lpstr>Consolidado!Criterios</vt:lpstr>
      <vt:lpstr>Detalle!Criterios</vt:lpstr>
      <vt:lpstr>NuevoConsolidado!Criterios</vt:lpstr>
      <vt:lpstr>Consolidado!OLE_LINK1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Yara Bonilla</dc:creator>
  <cp:lastModifiedBy>Jonathan</cp:lastModifiedBy>
  <cp:lastPrinted>2020-02-09T02:10:13Z</cp:lastPrinted>
  <dcterms:created xsi:type="dcterms:W3CDTF">2016-12-27T17:23:50Z</dcterms:created>
  <dcterms:modified xsi:type="dcterms:W3CDTF">2020-02-09T17:17:45Z</dcterms:modified>
</cp:coreProperties>
</file>